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54C2935-8916-4530-B3C0-D8789385BC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_Analysis" sheetId="1" r:id="rId1"/>
  </sheets>
  <definedNames>
    <definedName name="_xlnm._FilterDatabase" localSheetId="0" hidden="1">Performance_Analysis!$A$3:$W$803</definedName>
  </definedNames>
  <calcPr calcId="181029"/>
</workbook>
</file>

<file path=xl/calcChain.xml><?xml version="1.0" encoding="utf-8"?>
<calcChain xmlns="http://schemas.openxmlformats.org/spreadsheetml/2006/main">
  <c r="R800" i="1" l="1"/>
  <c r="R797" i="1"/>
  <c r="R795" i="1"/>
  <c r="R794" i="1"/>
  <c r="R793" i="1"/>
  <c r="R791" i="1"/>
  <c r="R787" i="1"/>
  <c r="R786" i="1"/>
  <c r="R783" i="1"/>
  <c r="R780" i="1"/>
  <c r="R778" i="1"/>
  <c r="R776" i="1"/>
  <c r="R768" i="1"/>
  <c r="R763" i="1"/>
  <c r="R761" i="1"/>
  <c r="R745" i="1"/>
  <c r="R740" i="1"/>
  <c r="R738" i="1"/>
  <c r="R734" i="1"/>
  <c r="R733" i="1"/>
  <c r="R729" i="1"/>
  <c r="R728" i="1"/>
  <c r="R724" i="1"/>
  <c r="R723" i="1"/>
  <c r="R719" i="1"/>
  <c r="R716" i="1"/>
  <c r="R712" i="1"/>
  <c r="R706" i="1"/>
  <c r="R701" i="1"/>
  <c r="R700" i="1"/>
  <c r="R697" i="1"/>
  <c r="R694" i="1"/>
  <c r="R693" i="1"/>
  <c r="R689" i="1"/>
  <c r="R686" i="1"/>
  <c r="R670" i="1"/>
  <c r="R669" i="1"/>
  <c r="R668" i="1"/>
  <c r="R662" i="1"/>
  <c r="R658" i="1"/>
  <c r="R654" i="1"/>
  <c r="R648" i="1"/>
  <c r="R647" i="1"/>
  <c r="R645" i="1"/>
  <c r="R644" i="1"/>
  <c r="R642" i="1"/>
  <c r="R641" i="1"/>
  <c r="R639" i="1"/>
  <c r="R633" i="1"/>
  <c r="R626" i="1"/>
  <c r="R619" i="1"/>
  <c r="R615" i="1"/>
  <c r="R611" i="1"/>
  <c r="R605" i="1"/>
  <c r="R598" i="1"/>
  <c r="R597" i="1"/>
  <c r="R595" i="1"/>
  <c r="R592" i="1"/>
  <c r="R590" i="1"/>
  <c r="R589" i="1"/>
  <c r="R588" i="1"/>
  <c r="R582" i="1"/>
  <c r="R577" i="1"/>
  <c r="R574" i="1"/>
  <c r="R573" i="1"/>
  <c r="R566" i="1"/>
  <c r="R564" i="1"/>
  <c r="R563" i="1"/>
  <c r="R554" i="1"/>
  <c r="R552" i="1"/>
  <c r="R546" i="1"/>
  <c r="R534" i="1"/>
  <c r="R530" i="1"/>
  <c r="R526" i="1"/>
  <c r="R525" i="1"/>
  <c r="R523" i="1"/>
  <c r="R519" i="1"/>
  <c r="R515" i="1"/>
  <c r="R514" i="1"/>
  <c r="R510" i="1"/>
  <c r="R497" i="1"/>
  <c r="R484" i="1"/>
  <c r="R483" i="1"/>
  <c r="R461" i="1"/>
  <c r="R459" i="1"/>
  <c r="R457" i="1"/>
  <c r="R454" i="1"/>
  <c r="R450" i="1"/>
  <c r="R438" i="1"/>
  <c r="R436" i="1"/>
  <c r="R434" i="1"/>
  <c r="R426" i="1"/>
  <c r="R425" i="1"/>
  <c r="R423" i="1"/>
  <c r="R412" i="1"/>
  <c r="R411" i="1"/>
  <c r="R409" i="1"/>
  <c r="R408" i="1"/>
  <c r="R407" i="1"/>
  <c r="R406" i="1"/>
  <c r="R403" i="1"/>
  <c r="R402" i="1"/>
  <c r="R392" i="1"/>
  <c r="R387" i="1"/>
  <c r="R382" i="1"/>
  <c r="R374" i="1"/>
  <c r="R369" i="1"/>
  <c r="R367" i="1"/>
  <c r="R365" i="1"/>
  <c r="R356" i="1"/>
  <c r="R353" i="1"/>
  <c r="R350" i="1"/>
  <c r="R347" i="1"/>
  <c r="R343" i="1"/>
  <c r="R340" i="1"/>
  <c r="R336" i="1"/>
  <c r="R335" i="1"/>
  <c r="R334" i="1"/>
  <c r="R331" i="1"/>
  <c r="R330" i="1"/>
  <c r="R328" i="1"/>
  <c r="R323" i="1"/>
  <c r="R314" i="1"/>
  <c r="R313" i="1"/>
  <c r="R312" i="1"/>
  <c r="R311" i="1"/>
  <c r="R304" i="1"/>
  <c r="R302" i="1"/>
  <c r="R301" i="1"/>
  <c r="R293" i="1"/>
  <c r="R287" i="1"/>
  <c r="R283" i="1"/>
  <c r="R278" i="1"/>
  <c r="R270" i="1"/>
  <c r="R267" i="1"/>
  <c r="R266" i="1"/>
  <c r="R265" i="1"/>
  <c r="R255" i="1"/>
  <c r="R254" i="1"/>
  <c r="R250" i="1"/>
  <c r="R248" i="1"/>
  <c r="R247" i="1"/>
  <c r="R246" i="1"/>
  <c r="R245" i="1"/>
  <c r="R237" i="1"/>
  <c r="R234" i="1"/>
  <c r="R233" i="1"/>
  <c r="R224" i="1"/>
  <c r="R214" i="1"/>
  <c r="R211" i="1"/>
  <c r="R209" i="1"/>
  <c r="R202" i="1"/>
  <c r="R201" i="1"/>
  <c r="R193" i="1"/>
  <c r="R192" i="1"/>
  <c r="R185" i="1"/>
  <c r="R176" i="1"/>
  <c r="R175" i="1"/>
  <c r="R171" i="1"/>
  <c r="R170" i="1"/>
  <c r="R165" i="1"/>
  <c r="R164" i="1"/>
  <c r="R159" i="1"/>
  <c r="R152" i="1"/>
  <c r="R151" i="1"/>
  <c r="R149" i="1"/>
  <c r="R148" i="1"/>
  <c r="R146" i="1"/>
  <c r="R141" i="1"/>
  <c r="R126" i="1"/>
  <c r="R122" i="1"/>
  <c r="R112" i="1"/>
  <c r="R108" i="1"/>
  <c r="R107" i="1"/>
  <c r="R106" i="1"/>
  <c r="R103" i="1"/>
  <c r="R87" i="1"/>
  <c r="R84" i="1"/>
  <c r="R83" i="1"/>
  <c r="R82" i="1"/>
  <c r="R81" i="1"/>
  <c r="R77" i="1"/>
  <c r="R63" i="1"/>
  <c r="R60" i="1"/>
  <c r="R59" i="1"/>
  <c r="R58" i="1"/>
  <c r="R56" i="1"/>
  <c r="R50" i="1"/>
  <c r="R44" i="1"/>
  <c r="R38" i="1"/>
  <c r="R37" i="1"/>
  <c r="R36" i="1"/>
  <c r="R35" i="1"/>
  <c r="R33" i="1"/>
  <c r="R29" i="1"/>
  <c r="R28" i="1"/>
  <c r="R23" i="1"/>
  <c r="R22" i="1"/>
  <c r="R21" i="1"/>
  <c r="R14" i="1"/>
  <c r="R9" i="1"/>
  <c r="R8" i="1"/>
  <c r="R7" i="1"/>
  <c r="R4" i="1"/>
  <c r="S800" i="1"/>
  <c r="S797" i="1"/>
  <c r="S795" i="1"/>
  <c r="S794" i="1"/>
  <c r="S793" i="1"/>
  <c r="S791" i="1"/>
  <c r="S787" i="1"/>
  <c r="S786" i="1"/>
  <c r="S783" i="1"/>
  <c r="S780" i="1"/>
  <c r="S778" i="1"/>
  <c r="S776" i="1"/>
  <c r="S768" i="1"/>
  <c r="S763" i="1"/>
  <c r="S761" i="1"/>
  <c r="S745" i="1"/>
  <c r="S740" i="1"/>
  <c r="S738" i="1"/>
  <c r="S734" i="1"/>
  <c r="S733" i="1"/>
  <c r="S729" i="1"/>
  <c r="S728" i="1"/>
  <c r="S724" i="1"/>
  <c r="S723" i="1"/>
  <c r="S719" i="1"/>
  <c r="S716" i="1"/>
  <c r="S712" i="1"/>
  <c r="S706" i="1"/>
  <c r="S701" i="1"/>
  <c r="S700" i="1"/>
  <c r="S697" i="1"/>
  <c r="S694" i="1"/>
  <c r="S693" i="1"/>
  <c r="S689" i="1"/>
  <c r="S686" i="1"/>
  <c r="S670" i="1"/>
  <c r="S669" i="1"/>
  <c r="S668" i="1"/>
  <c r="S662" i="1"/>
  <c r="S658" i="1"/>
  <c r="S654" i="1"/>
  <c r="S648" i="1"/>
  <c r="S647" i="1"/>
  <c r="S645" i="1"/>
  <c r="S644" i="1"/>
  <c r="S642" i="1"/>
  <c r="S641" i="1"/>
  <c r="S639" i="1"/>
  <c r="S633" i="1"/>
  <c r="S626" i="1"/>
  <c r="S619" i="1"/>
  <c r="S615" i="1"/>
  <c r="S611" i="1"/>
  <c r="S605" i="1"/>
  <c r="S598" i="1"/>
  <c r="S597" i="1"/>
  <c r="S595" i="1"/>
  <c r="S592" i="1"/>
  <c r="S590" i="1"/>
  <c r="S589" i="1"/>
  <c r="S588" i="1"/>
  <c r="S582" i="1"/>
  <c r="S577" i="1"/>
  <c r="S574" i="1"/>
  <c r="S573" i="1"/>
  <c r="S566" i="1"/>
  <c r="S564" i="1"/>
  <c r="S563" i="1"/>
  <c r="S554" i="1"/>
  <c r="S552" i="1"/>
  <c r="S546" i="1"/>
  <c r="S534" i="1"/>
  <c r="S530" i="1"/>
  <c r="S526" i="1"/>
  <c r="S525" i="1"/>
  <c r="S523" i="1"/>
  <c r="S519" i="1"/>
  <c r="S515" i="1"/>
  <c r="S514" i="1"/>
  <c r="S510" i="1"/>
  <c r="S497" i="1"/>
  <c r="S484" i="1"/>
  <c r="S483" i="1"/>
  <c r="S461" i="1"/>
  <c r="S459" i="1"/>
  <c r="S457" i="1"/>
  <c r="S454" i="1"/>
  <c r="S450" i="1"/>
  <c r="S438" i="1"/>
  <c r="S436" i="1"/>
  <c r="S434" i="1"/>
  <c r="S426" i="1"/>
  <c r="S425" i="1"/>
  <c r="S423" i="1"/>
  <c r="S412" i="1"/>
  <c r="S411" i="1"/>
  <c r="S409" i="1"/>
  <c r="S408" i="1"/>
  <c r="S407" i="1"/>
  <c r="S406" i="1"/>
  <c r="S403" i="1"/>
  <c r="S402" i="1"/>
  <c r="S392" i="1"/>
  <c r="S387" i="1"/>
  <c r="S382" i="1"/>
  <c r="S374" i="1"/>
  <c r="S369" i="1"/>
  <c r="S367" i="1"/>
  <c r="S365" i="1"/>
  <c r="S356" i="1"/>
  <c r="S353" i="1"/>
  <c r="S350" i="1"/>
  <c r="S347" i="1"/>
  <c r="S343" i="1"/>
  <c r="S340" i="1"/>
  <c r="S336" i="1"/>
  <c r="S335" i="1"/>
  <c r="S334" i="1"/>
  <c r="S331" i="1"/>
  <c r="S330" i="1"/>
  <c r="S328" i="1"/>
  <c r="S323" i="1"/>
  <c r="S314" i="1"/>
  <c r="S313" i="1"/>
  <c r="S312" i="1"/>
  <c r="S311" i="1"/>
  <c r="S304" i="1"/>
  <c r="S302" i="1"/>
  <c r="S301" i="1"/>
  <c r="S293" i="1"/>
  <c r="S287" i="1"/>
  <c r="S283" i="1"/>
  <c r="S278" i="1"/>
  <c r="S270" i="1"/>
  <c r="S267" i="1"/>
  <c r="S266" i="1"/>
  <c r="S265" i="1"/>
  <c r="S255" i="1"/>
  <c r="S254" i="1"/>
  <c r="S250" i="1"/>
  <c r="S248" i="1"/>
  <c r="S247" i="1"/>
  <c r="S246" i="1"/>
  <c r="S245" i="1"/>
  <c r="S237" i="1"/>
  <c r="S234" i="1"/>
  <c r="S233" i="1"/>
  <c r="S224" i="1"/>
  <c r="S214" i="1"/>
  <c r="S211" i="1"/>
  <c r="S209" i="1"/>
  <c r="S202" i="1"/>
  <c r="S201" i="1"/>
  <c r="S193" i="1"/>
  <c r="S192" i="1"/>
  <c r="S185" i="1"/>
  <c r="S176" i="1"/>
  <c r="S175" i="1"/>
  <c r="S171" i="1"/>
  <c r="S170" i="1"/>
  <c r="S165" i="1"/>
  <c r="S164" i="1"/>
  <c r="S159" i="1"/>
  <c r="S152" i="1"/>
  <c r="S151" i="1"/>
  <c r="S149" i="1"/>
  <c r="S148" i="1"/>
  <c r="S146" i="1"/>
  <c r="S141" i="1"/>
  <c r="S126" i="1"/>
  <c r="S122" i="1"/>
  <c r="S112" i="1"/>
  <c r="S108" i="1"/>
  <c r="S107" i="1"/>
  <c r="S106" i="1"/>
  <c r="S103" i="1"/>
  <c r="S87" i="1"/>
  <c r="S84" i="1"/>
  <c r="S83" i="1"/>
  <c r="S82" i="1"/>
  <c r="S81" i="1"/>
  <c r="S77" i="1"/>
  <c r="S63" i="1"/>
  <c r="S60" i="1"/>
  <c r="S59" i="1"/>
  <c r="S58" i="1"/>
  <c r="S56" i="1"/>
  <c r="S50" i="1"/>
  <c r="S44" i="1"/>
  <c r="S38" i="1"/>
  <c r="S37" i="1"/>
  <c r="S36" i="1"/>
  <c r="S35" i="1"/>
  <c r="S33" i="1"/>
  <c r="S29" i="1"/>
  <c r="S28" i="1"/>
  <c r="S23" i="1"/>
  <c r="S22" i="1"/>
  <c r="S21" i="1"/>
  <c r="S14" i="1"/>
  <c r="S9" i="1"/>
  <c r="S8" i="1"/>
  <c r="S7" i="1"/>
  <c r="S4" i="1"/>
  <c r="R798" i="1"/>
  <c r="R796" i="1"/>
  <c r="R792" i="1"/>
  <c r="R788" i="1"/>
  <c r="R785" i="1"/>
  <c r="R784" i="1"/>
  <c r="R781" i="1"/>
  <c r="R779" i="1"/>
  <c r="R777" i="1"/>
  <c r="R775" i="1"/>
  <c r="R767" i="1"/>
  <c r="R760" i="1"/>
  <c r="R746" i="1"/>
  <c r="R741" i="1"/>
  <c r="R739" i="1"/>
  <c r="R735" i="1"/>
  <c r="R730" i="1"/>
  <c r="R727" i="1"/>
  <c r="R722" i="1"/>
  <c r="R718" i="1"/>
  <c r="R717" i="1"/>
  <c r="R704" i="1"/>
  <c r="R703" i="1"/>
  <c r="R702" i="1"/>
  <c r="R684" i="1"/>
  <c r="R680" i="1"/>
  <c r="R679" i="1"/>
  <c r="R678" i="1"/>
  <c r="R672" i="1"/>
  <c r="R671" i="1"/>
  <c r="R666" i="1"/>
  <c r="R665" i="1"/>
  <c r="R661" i="1"/>
  <c r="R660" i="1"/>
  <c r="R655" i="1"/>
  <c r="R653" i="1"/>
  <c r="R651" i="1"/>
  <c r="R650" i="1"/>
  <c r="R649" i="1"/>
  <c r="R643" i="1"/>
  <c r="R636" i="1"/>
  <c r="R635" i="1"/>
  <c r="R632" i="1"/>
  <c r="R630" i="1"/>
  <c r="R628" i="1"/>
  <c r="R627" i="1"/>
  <c r="R624" i="1"/>
  <c r="R623" i="1"/>
  <c r="R613" i="1"/>
  <c r="R612" i="1"/>
  <c r="R610" i="1"/>
  <c r="R608" i="1"/>
  <c r="R606" i="1"/>
  <c r="R604" i="1"/>
  <c r="R602" i="1"/>
  <c r="R596" i="1"/>
  <c r="R594" i="1"/>
  <c r="R591" i="1"/>
  <c r="R587" i="1"/>
  <c r="R583" i="1"/>
  <c r="R578" i="1"/>
  <c r="R572" i="1"/>
  <c r="R571" i="1"/>
  <c r="R568" i="1"/>
  <c r="R565" i="1"/>
  <c r="R561" i="1"/>
  <c r="R558" i="1"/>
  <c r="R556" i="1"/>
  <c r="R553" i="1"/>
  <c r="R548" i="1"/>
  <c r="R541" i="1"/>
  <c r="R536" i="1"/>
  <c r="R535" i="1"/>
  <c r="R533" i="1"/>
  <c r="R531" i="1"/>
  <c r="R528" i="1"/>
  <c r="R522" i="1"/>
  <c r="R518" i="1"/>
  <c r="R517" i="1"/>
  <c r="R516" i="1"/>
  <c r="R513" i="1"/>
  <c r="R511" i="1"/>
  <c r="R509" i="1"/>
  <c r="R508" i="1"/>
  <c r="R503" i="1"/>
  <c r="R502" i="1"/>
  <c r="R501" i="1"/>
  <c r="R495" i="1"/>
  <c r="R492" i="1"/>
  <c r="R487" i="1"/>
  <c r="R481" i="1"/>
  <c r="R478" i="1"/>
  <c r="R476" i="1"/>
  <c r="R474" i="1"/>
  <c r="R472" i="1"/>
  <c r="R466" i="1"/>
  <c r="R458" i="1"/>
  <c r="R452" i="1"/>
  <c r="R451" i="1"/>
  <c r="R449" i="1"/>
  <c r="R448" i="1"/>
  <c r="R442" i="1"/>
  <c r="R441" i="1"/>
  <c r="R440" i="1"/>
  <c r="R439" i="1"/>
  <c r="R433" i="1"/>
  <c r="R431" i="1"/>
  <c r="R429" i="1"/>
  <c r="R421" i="1"/>
  <c r="R418" i="1"/>
  <c r="R417" i="1"/>
  <c r="R414" i="1"/>
  <c r="R398" i="1"/>
  <c r="R396" i="1"/>
  <c r="R384" i="1"/>
  <c r="R383" i="1"/>
  <c r="R373" i="1"/>
  <c r="R368" i="1"/>
  <c r="R364" i="1"/>
  <c r="R362" i="1"/>
  <c r="R361" i="1"/>
  <c r="R357" i="1"/>
  <c r="R354" i="1"/>
  <c r="R344" i="1"/>
  <c r="R341" i="1"/>
  <c r="R332" i="1"/>
  <c r="R326" i="1"/>
  <c r="R325" i="1"/>
  <c r="R324" i="1"/>
  <c r="R322" i="1"/>
  <c r="R316" i="1"/>
  <c r="R308" i="1"/>
  <c r="R306" i="1"/>
  <c r="R296" i="1"/>
  <c r="R295" i="1"/>
  <c r="R291" i="1"/>
  <c r="R286" i="1"/>
  <c r="R282" i="1"/>
  <c r="R277" i="1"/>
  <c r="R269" i="1"/>
  <c r="R268" i="1"/>
  <c r="R262" i="1"/>
  <c r="R259" i="1"/>
  <c r="R258" i="1"/>
  <c r="R244" i="1"/>
  <c r="R241" i="1"/>
  <c r="R240" i="1"/>
  <c r="R232" i="1"/>
  <c r="R230" i="1"/>
  <c r="R228" i="1"/>
  <c r="R225" i="1"/>
  <c r="R219" i="1"/>
  <c r="R218" i="1"/>
  <c r="R199" i="1"/>
  <c r="R198" i="1"/>
  <c r="R196" i="1"/>
  <c r="R191" i="1"/>
  <c r="R186" i="1"/>
  <c r="R179" i="1"/>
  <c r="R173" i="1"/>
  <c r="R162" i="1"/>
  <c r="R161" i="1"/>
  <c r="R156" i="1"/>
  <c r="R155" i="1"/>
  <c r="R150" i="1"/>
  <c r="R142" i="1"/>
  <c r="R140" i="1"/>
  <c r="R132" i="1"/>
  <c r="R127" i="1"/>
  <c r="R125" i="1"/>
  <c r="R124" i="1"/>
  <c r="R123" i="1"/>
  <c r="R120" i="1"/>
  <c r="R115" i="1"/>
  <c r="R113" i="1"/>
  <c r="R111" i="1"/>
  <c r="R105" i="1"/>
  <c r="R104" i="1"/>
  <c r="R100" i="1"/>
  <c r="R99" i="1"/>
  <c r="R94" i="1"/>
  <c r="R90" i="1"/>
  <c r="R85" i="1"/>
  <c r="R79" i="1"/>
  <c r="R76" i="1"/>
  <c r="R75" i="1"/>
  <c r="R74" i="1"/>
  <c r="R70" i="1"/>
  <c r="R68" i="1"/>
  <c r="R67" i="1"/>
  <c r="R62" i="1"/>
  <c r="R52" i="1"/>
  <c r="R49" i="1"/>
  <c r="R47" i="1"/>
  <c r="R46" i="1"/>
  <c r="R45" i="1"/>
  <c r="R41" i="1"/>
  <c r="R39" i="1"/>
  <c r="R32" i="1"/>
  <c r="R30" i="1"/>
  <c r="R19" i="1"/>
  <c r="R15" i="1"/>
  <c r="S802" i="1"/>
  <c r="S801" i="1"/>
  <c r="S790" i="1"/>
  <c r="S782" i="1"/>
  <c r="S773" i="1"/>
  <c r="S772" i="1"/>
  <c r="S769" i="1"/>
  <c r="S766" i="1"/>
  <c r="S764" i="1"/>
  <c r="S759" i="1"/>
  <c r="S756" i="1"/>
  <c r="S755" i="1"/>
  <c r="S754" i="1"/>
  <c r="S753" i="1"/>
  <c r="S752" i="1"/>
  <c r="S748" i="1"/>
  <c r="S744" i="1"/>
  <c r="S742" i="1"/>
  <c r="S726" i="1"/>
  <c r="S720" i="1"/>
  <c r="S715" i="1"/>
  <c r="S714" i="1"/>
  <c r="S713" i="1"/>
  <c r="S711" i="1"/>
  <c r="S710" i="1"/>
  <c r="S709" i="1"/>
  <c r="S705" i="1"/>
  <c r="S692" i="1"/>
  <c r="S690" i="1"/>
  <c r="S688" i="1"/>
  <c r="S683" i="1"/>
  <c r="S681" i="1"/>
  <c r="S677" i="1"/>
  <c r="S674" i="1"/>
  <c r="S673" i="1"/>
  <c r="S667" i="1"/>
  <c r="S664" i="1"/>
  <c r="S663" i="1"/>
  <c r="S659" i="1"/>
  <c r="S657" i="1"/>
  <c r="S656" i="1"/>
  <c r="S646" i="1"/>
  <c r="S638" i="1"/>
  <c r="S637" i="1"/>
  <c r="S634" i="1"/>
  <c r="S629" i="1"/>
  <c r="S622" i="1"/>
  <c r="S620" i="1"/>
  <c r="S617" i="1"/>
  <c r="S601" i="1"/>
  <c r="S586" i="1"/>
  <c r="S575" i="1"/>
  <c r="S570" i="1"/>
  <c r="S567" i="1"/>
  <c r="S562" i="1"/>
  <c r="S549" i="1"/>
  <c r="S544" i="1"/>
  <c r="S540" i="1"/>
  <c r="S539" i="1"/>
  <c r="S537" i="1"/>
  <c r="S529" i="1"/>
  <c r="S527" i="1"/>
  <c r="S524" i="1"/>
  <c r="S521" i="1"/>
  <c r="S520" i="1"/>
  <c r="S512" i="1"/>
  <c r="S507" i="1"/>
  <c r="S505" i="1"/>
  <c r="S490" i="1"/>
  <c r="S485" i="1"/>
  <c r="S479" i="1"/>
  <c r="S477" i="1"/>
  <c r="S471" i="1"/>
  <c r="S467" i="1"/>
  <c r="S465" i="1"/>
  <c r="S464" i="1"/>
  <c r="S460" i="1"/>
  <c r="S455" i="1"/>
  <c r="S453" i="1"/>
  <c r="S445" i="1"/>
  <c r="S443" i="1"/>
  <c r="S437" i="1"/>
  <c r="S435" i="1"/>
  <c r="S430" i="1"/>
  <c r="S428" i="1"/>
  <c r="S422" i="1"/>
  <c r="S420" i="1"/>
  <c r="S416" i="1"/>
  <c r="S415" i="1"/>
  <c r="S404" i="1"/>
  <c r="S401" i="1"/>
  <c r="S400" i="1"/>
  <c r="S397" i="1"/>
  <c r="S395" i="1"/>
  <c r="S390" i="1"/>
  <c r="S388" i="1"/>
  <c r="S386" i="1"/>
  <c r="S385" i="1"/>
  <c r="S376" i="1"/>
  <c r="S372" i="1"/>
  <c r="S370" i="1"/>
  <c r="S366" i="1"/>
  <c r="S360" i="1"/>
  <c r="S359" i="1"/>
  <c r="S355" i="1"/>
  <c r="S352" i="1"/>
  <c r="S351" i="1"/>
  <c r="S348" i="1"/>
  <c r="S346" i="1"/>
  <c r="S345" i="1"/>
  <c r="S339" i="1"/>
  <c r="S338" i="1"/>
  <c r="S337" i="1"/>
  <c r="S327" i="1"/>
  <c r="S321" i="1"/>
  <c r="S320" i="1"/>
  <c r="S319" i="1"/>
  <c r="S318" i="1"/>
  <c r="S317" i="1"/>
  <c r="S310" i="1"/>
  <c r="S305" i="1"/>
  <c r="S300" i="1"/>
  <c r="S299" i="1"/>
  <c r="S298" i="1"/>
  <c r="S297" i="1"/>
  <c r="S294" i="1"/>
  <c r="S292" i="1"/>
  <c r="S289" i="1"/>
  <c r="S288" i="1"/>
  <c r="S284" i="1"/>
  <c r="S280" i="1"/>
  <c r="S273" i="1"/>
  <c r="S272" i="1"/>
  <c r="S264" i="1"/>
  <c r="S263" i="1"/>
  <c r="S261" i="1"/>
  <c r="S257" i="1"/>
  <c r="S256" i="1"/>
  <c r="S252" i="1"/>
  <c r="S243" i="1"/>
  <c r="S236" i="1"/>
  <c r="S235" i="1"/>
  <c r="S231" i="1"/>
  <c r="S227" i="1"/>
  <c r="S222" i="1"/>
  <c r="S217" i="1"/>
  <c r="S213" i="1"/>
  <c r="S208" i="1"/>
  <c r="S204" i="1"/>
  <c r="S203" i="1"/>
  <c r="S200" i="1"/>
  <c r="S197" i="1"/>
  <c r="S189" i="1"/>
  <c r="S188" i="1"/>
  <c r="S187" i="1"/>
  <c r="S183" i="1"/>
  <c r="S182" i="1"/>
  <c r="S181" i="1"/>
  <c r="S180" i="1"/>
  <c r="S174" i="1"/>
  <c r="S168" i="1"/>
  <c r="S163" i="1"/>
  <c r="S158" i="1"/>
  <c r="S154" i="1"/>
  <c r="S153" i="1"/>
  <c r="S144" i="1"/>
  <c r="S143" i="1"/>
  <c r="S138" i="1"/>
  <c r="S137" i="1"/>
  <c r="S133" i="1"/>
  <c r="S128" i="1"/>
  <c r="S121" i="1"/>
  <c r="S119" i="1"/>
  <c r="S109" i="1"/>
  <c r="S102" i="1"/>
  <c r="S96" i="1"/>
  <c r="S92" i="1"/>
  <c r="S91" i="1"/>
  <c r="S86" i="1"/>
  <c r="S73" i="1"/>
  <c r="S69" i="1"/>
  <c r="S66" i="1"/>
  <c r="S57" i="1"/>
  <c r="S53" i="1"/>
  <c r="S51" i="1"/>
  <c r="S42" i="1"/>
  <c r="S40" i="1"/>
  <c r="S34" i="1"/>
  <c r="S31" i="1"/>
  <c r="S13" i="1"/>
  <c r="S6" i="1"/>
  <c r="S5" i="1"/>
  <c r="T5" i="1" s="1"/>
  <c r="T6" i="1"/>
  <c r="T7" i="1"/>
  <c r="T8" i="1"/>
  <c r="T9" i="1"/>
  <c r="S10" i="1"/>
  <c r="T10" i="1" s="1"/>
  <c r="S11" i="1"/>
  <c r="T11" i="1" s="1"/>
  <c r="S12" i="1"/>
  <c r="T12" i="1" s="1"/>
  <c r="T13" i="1"/>
  <c r="T14" i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T21" i="1"/>
  <c r="T22" i="1"/>
  <c r="T23" i="1"/>
  <c r="S24" i="1"/>
  <c r="T24" i="1" s="1"/>
  <c r="S25" i="1"/>
  <c r="T25" i="1" s="1"/>
  <c r="S26" i="1"/>
  <c r="T26" i="1" s="1"/>
  <c r="S27" i="1"/>
  <c r="T27" i="1" s="1"/>
  <c r="T28" i="1"/>
  <c r="T29" i="1"/>
  <c r="S30" i="1"/>
  <c r="T30" i="1" s="1"/>
  <c r="T31" i="1"/>
  <c r="S32" i="1"/>
  <c r="T32" i="1" s="1"/>
  <c r="T33" i="1"/>
  <c r="T34" i="1"/>
  <c r="T35" i="1"/>
  <c r="T36" i="1"/>
  <c r="T37" i="1"/>
  <c r="T38" i="1"/>
  <c r="S39" i="1"/>
  <c r="T39" i="1" s="1"/>
  <c r="T40" i="1"/>
  <c r="S41" i="1"/>
  <c r="T41" i="1" s="1"/>
  <c r="T42" i="1"/>
  <c r="S43" i="1"/>
  <c r="T43" i="1" s="1"/>
  <c r="T44" i="1"/>
  <c r="S45" i="1"/>
  <c r="T45" i="1" s="1"/>
  <c r="S46" i="1"/>
  <c r="T46" i="1" s="1"/>
  <c r="S47" i="1"/>
  <c r="T47" i="1" s="1"/>
  <c r="S48" i="1"/>
  <c r="T48" i="1" s="1"/>
  <c r="S49" i="1"/>
  <c r="T49" i="1" s="1"/>
  <c r="T50" i="1"/>
  <c r="T51" i="1"/>
  <c r="S52" i="1"/>
  <c r="T52" i="1" s="1"/>
  <c r="T53" i="1"/>
  <c r="S54" i="1"/>
  <c r="T54" i="1" s="1"/>
  <c r="S55" i="1"/>
  <c r="T55" i="1" s="1"/>
  <c r="T56" i="1"/>
  <c r="T57" i="1"/>
  <c r="T58" i="1"/>
  <c r="T59" i="1"/>
  <c r="T60" i="1"/>
  <c r="S61" i="1"/>
  <c r="T61" i="1" s="1"/>
  <c r="S62" i="1"/>
  <c r="T62" i="1" s="1"/>
  <c r="T63" i="1"/>
  <c r="S64" i="1"/>
  <c r="T64" i="1" s="1"/>
  <c r="S65" i="1"/>
  <c r="T65" i="1" s="1"/>
  <c r="T66" i="1"/>
  <c r="S67" i="1"/>
  <c r="T67" i="1" s="1"/>
  <c r="S68" i="1"/>
  <c r="T68" i="1" s="1"/>
  <c r="T69" i="1"/>
  <c r="S70" i="1"/>
  <c r="T70" i="1" s="1"/>
  <c r="S71" i="1"/>
  <c r="T71" i="1" s="1"/>
  <c r="S72" i="1"/>
  <c r="T72" i="1" s="1"/>
  <c r="T73" i="1"/>
  <c r="S74" i="1"/>
  <c r="T74" i="1" s="1"/>
  <c r="S75" i="1"/>
  <c r="T75" i="1" s="1"/>
  <c r="S76" i="1"/>
  <c r="T76" i="1" s="1"/>
  <c r="T77" i="1"/>
  <c r="S78" i="1"/>
  <c r="T78" i="1" s="1"/>
  <c r="S79" i="1"/>
  <c r="T79" i="1" s="1"/>
  <c r="S80" i="1"/>
  <c r="T80" i="1" s="1"/>
  <c r="T81" i="1"/>
  <c r="T82" i="1"/>
  <c r="T83" i="1"/>
  <c r="T84" i="1"/>
  <c r="S85" i="1"/>
  <c r="T85" i="1" s="1"/>
  <c r="T86" i="1"/>
  <c r="T87" i="1"/>
  <c r="S88" i="1"/>
  <c r="T88" i="1" s="1"/>
  <c r="S89" i="1"/>
  <c r="T89" i="1" s="1"/>
  <c r="S90" i="1"/>
  <c r="T90" i="1" s="1"/>
  <c r="T91" i="1"/>
  <c r="T92" i="1"/>
  <c r="S93" i="1"/>
  <c r="T93" i="1" s="1"/>
  <c r="S94" i="1"/>
  <c r="T94" i="1" s="1"/>
  <c r="S95" i="1"/>
  <c r="T95" i="1" s="1"/>
  <c r="T96" i="1"/>
  <c r="S97" i="1"/>
  <c r="T97" i="1" s="1"/>
  <c r="S98" i="1"/>
  <c r="T98" i="1" s="1"/>
  <c r="S99" i="1"/>
  <c r="T99" i="1" s="1"/>
  <c r="S100" i="1"/>
  <c r="T100" i="1" s="1"/>
  <c r="S101" i="1"/>
  <c r="T101" i="1" s="1"/>
  <c r="T102" i="1"/>
  <c r="T103" i="1"/>
  <c r="S104" i="1"/>
  <c r="T104" i="1" s="1"/>
  <c r="S105" i="1"/>
  <c r="T105" i="1" s="1"/>
  <c r="T106" i="1"/>
  <c r="T107" i="1"/>
  <c r="T108" i="1"/>
  <c r="T109" i="1"/>
  <c r="S110" i="1"/>
  <c r="T110" i="1" s="1"/>
  <c r="S111" i="1"/>
  <c r="T111" i="1" s="1"/>
  <c r="T112" i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T119" i="1"/>
  <c r="S120" i="1"/>
  <c r="T120" i="1" s="1"/>
  <c r="T121" i="1"/>
  <c r="T122" i="1"/>
  <c r="S123" i="1"/>
  <c r="T123" i="1" s="1"/>
  <c r="S124" i="1"/>
  <c r="T124" i="1" s="1"/>
  <c r="S125" i="1"/>
  <c r="T125" i="1" s="1"/>
  <c r="T126" i="1"/>
  <c r="S127" i="1"/>
  <c r="T127" i="1" s="1"/>
  <c r="T128" i="1"/>
  <c r="S129" i="1"/>
  <c r="T129" i="1" s="1"/>
  <c r="S130" i="1"/>
  <c r="T130" i="1" s="1"/>
  <c r="S131" i="1"/>
  <c r="T131" i="1" s="1"/>
  <c r="S132" i="1"/>
  <c r="T132" i="1" s="1"/>
  <c r="T133" i="1"/>
  <c r="S134" i="1"/>
  <c r="T134" i="1" s="1"/>
  <c r="S135" i="1"/>
  <c r="T135" i="1" s="1"/>
  <c r="S136" i="1"/>
  <c r="T136" i="1" s="1"/>
  <c r="T137" i="1"/>
  <c r="T138" i="1"/>
  <c r="S139" i="1"/>
  <c r="T139" i="1" s="1"/>
  <c r="S140" i="1"/>
  <c r="T140" i="1" s="1"/>
  <c r="T141" i="1"/>
  <c r="S142" i="1"/>
  <c r="T142" i="1" s="1"/>
  <c r="T143" i="1"/>
  <c r="T144" i="1"/>
  <c r="S145" i="1"/>
  <c r="T145" i="1" s="1"/>
  <c r="T146" i="1"/>
  <c r="S147" i="1"/>
  <c r="T147" i="1" s="1"/>
  <c r="T148" i="1"/>
  <c r="T149" i="1"/>
  <c r="S150" i="1"/>
  <c r="T150" i="1" s="1"/>
  <c r="T151" i="1"/>
  <c r="T152" i="1"/>
  <c r="T153" i="1"/>
  <c r="T154" i="1"/>
  <c r="S155" i="1"/>
  <c r="T155" i="1" s="1"/>
  <c r="S156" i="1"/>
  <c r="T156" i="1" s="1"/>
  <c r="S157" i="1"/>
  <c r="T157" i="1" s="1"/>
  <c r="T158" i="1"/>
  <c r="T159" i="1"/>
  <c r="S160" i="1"/>
  <c r="T160" i="1" s="1"/>
  <c r="S161" i="1"/>
  <c r="T161" i="1" s="1"/>
  <c r="S162" i="1"/>
  <c r="T162" i="1" s="1"/>
  <c r="T163" i="1"/>
  <c r="T164" i="1"/>
  <c r="T165" i="1"/>
  <c r="S166" i="1"/>
  <c r="T166" i="1" s="1"/>
  <c r="S167" i="1"/>
  <c r="T167" i="1" s="1"/>
  <c r="T168" i="1"/>
  <c r="S169" i="1"/>
  <c r="T169" i="1" s="1"/>
  <c r="T170" i="1"/>
  <c r="T171" i="1"/>
  <c r="S172" i="1"/>
  <c r="T172" i="1" s="1"/>
  <c r="S173" i="1"/>
  <c r="T173" i="1" s="1"/>
  <c r="T174" i="1"/>
  <c r="T175" i="1"/>
  <c r="T176" i="1"/>
  <c r="S177" i="1"/>
  <c r="T177" i="1" s="1"/>
  <c r="S178" i="1"/>
  <c r="T178" i="1" s="1"/>
  <c r="S179" i="1"/>
  <c r="T179" i="1" s="1"/>
  <c r="T180" i="1"/>
  <c r="T181" i="1"/>
  <c r="T182" i="1"/>
  <c r="T183" i="1"/>
  <c r="S184" i="1"/>
  <c r="T184" i="1" s="1"/>
  <c r="T185" i="1"/>
  <c r="S186" i="1"/>
  <c r="T186" i="1" s="1"/>
  <c r="T187" i="1"/>
  <c r="T188" i="1"/>
  <c r="T189" i="1"/>
  <c r="S190" i="1"/>
  <c r="T190" i="1" s="1"/>
  <c r="S191" i="1"/>
  <c r="T191" i="1" s="1"/>
  <c r="T192" i="1"/>
  <c r="T193" i="1"/>
  <c r="S194" i="1"/>
  <c r="T194" i="1" s="1"/>
  <c r="S195" i="1"/>
  <c r="T195" i="1" s="1"/>
  <c r="S196" i="1"/>
  <c r="T196" i="1" s="1"/>
  <c r="T197" i="1"/>
  <c r="S198" i="1"/>
  <c r="T198" i="1" s="1"/>
  <c r="S199" i="1"/>
  <c r="T199" i="1" s="1"/>
  <c r="T200" i="1"/>
  <c r="T201" i="1"/>
  <c r="T202" i="1"/>
  <c r="T203" i="1"/>
  <c r="T204" i="1"/>
  <c r="S205" i="1"/>
  <c r="T205" i="1" s="1"/>
  <c r="S206" i="1"/>
  <c r="T206" i="1" s="1"/>
  <c r="S207" i="1"/>
  <c r="T207" i="1" s="1"/>
  <c r="T208" i="1"/>
  <c r="T209" i="1"/>
  <c r="S210" i="1"/>
  <c r="T210" i="1" s="1"/>
  <c r="T211" i="1"/>
  <c r="S212" i="1"/>
  <c r="T212" i="1" s="1"/>
  <c r="T213" i="1"/>
  <c r="T214" i="1"/>
  <c r="S215" i="1"/>
  <c r="T215" i="1" s="1"/>
  <c r="S216" i="1"/>
  <c r="T216" i="1" s="1"/>
  <c r="T217" i="1"/>
  <c r="S218" i="1"/>
  <c r="T218" i="1" s="1"/>
  <c r="S219" i="1"/>
  <c r="T219" i="1" s="1"/>
  <c r="S220" i="1"/>
  <c r="T220" i="1" s="1"/>
  <c r="S221" i="1"/>
  <c r="T221" i="1" s="1"/>
  <c r="T222" i="1"/>
  <c r="S223" i="1"/>
  <c r="T223" i="1" s="1"/>
  <c r="T224" i="1"/>
  <c r="S225" i="1"/>
  <c r="T225" i="1" s="1"/>
  <c r="S226" i="1"/>
  <c r="T226" i="1" s="1"/>
  <c r="T227" i="1"/>
  <c r="S228" i="1"/>
  <c r="T228" i="1" s="1"/>
  <c r="S229" i="1"/>
  <c r="T229" i="1" s="1"/>
  <c r="S230" i="1"/>
  <c r="T230" i="1" s="1"/>
  <c r="T231" i="1"/>
  <c r="S232" i="1"/>
  <c r="T232" i="1" s="1"/>
  <c r="T233" i="1"/>
  <c r="T234" i="1"/>
  <c r="T235" i="1"/>
  <c r="T236" i="1"/>
  <c r="T237" i="1"/>
  <c r="S238" i="1"/>
  <c r="T238" i="1" s="1"/>
  <c r="S239" i="1"/>
  <c r="T239" i="1" s="1"/>
  <c r="S240" i="1"/>
  <c r="T240" i="1" s="1"/>
  <c r="S241" i="1"/>
  <c r="T241" i="1" s="1"/>
  <c r="S242" i="1"/>
  <c r="T242" i="1" s="1"/>
  <c r="T243" i="1"/>
  <c r="S244" i="1"/>
  <c r="T244" i="1" s="1"/>
  <c r="T245" i="1"/>
  <c r="T246" i="1"/>
  <c r="T247" i="1"/>
  <c r="T248" i="1"/>
  <c r="S249" i="1"/>
  <c r="T249" i="1" s="1"/>
  <c r="T250" i="1"/>
  <c r="S251" i="1"/>
  <c r="T251" i="1" s="1"/>
  <c r="T252" i="1"/>
  <c r="S253" i="1"/>
  <c r="T253" i="1" s="1"/>
  <c r="T254" i="1"/>
  <c r="T255" i="1"/>
  <c r="T256" i="1"/>
  <c r="T257" i="1"/>
  <c r="S258" i="1"/>
  <c r="T258" i="1" s="1"/>
  <c r="S259" i="1"/>
  <c r="T259" i="1" s="1"/>
  <c r="S260" i="1"/>
  <c r="T260" i="1" s="1"/>
  <c r="T261" i="1"/>
  <c r="S262" i="1"/>
  <c r="T262" i="1" s="1"/>
  <c r="T263" i="1"/>
  <c r="T264" i="1"/>
  <c r="T265" i="1"/>
  <c r="T266" i="1"/>
  <c r="T267" i="1"/>
  <c r="S268" i="1"/>
  <c r="T268" i="1" s="1"/>
  <c r="S269" i="1"/>
  <c r="T269" i="1" s="1"/>
  <c r="T270" i="1"/>
  <c r="S271" i="1"/>
  <c r="T271" i="1" s="1"/>
  <c r="T272" i="1"/>
  <c r="T273" i="1"/>
  <c r="S274" i="1"/>
  <c r="T274" i="1" s="1"/>
  <c r="S275" i="1"/>
  <c r="T275" i="1" s="1"/>
  <c r="S276" i="1"/>
  <c r="T276" i="1" s="1"/>
  <c r="S277" i="1"/>
  <c r="T277" i="1" s="1"/>
  <c r="T278" i="1"/>
  <c r="S279" i="1"/>
  <c r="T279" i="1" s="1"/>
  <c r="T280" i="1"/>
  <c r="S281" i="1"/>
  <c r="T281" i="1" s="1"/>
  <c r="S282" i="1"/>
  <c r="T282" i="1" s="1"/>
  <c r="T283" i="1"/>
  <c r="T284" i="1"/>
  <c r="S285" i="1"/>
  <c r="T285" i="1" s="1"/>
  <c r="S286" i="1"/>
  <c r="T286" i="1" s="1"/>
  <c r="T287" i="1"/>
  <c r="T288" i="1"/>
  <c r="T289" i="1"/>
  <c r="S290" i="1"/>
  <c r="T290" i="1" s="1"/>
  <c r="S291" i="1"/>
  <c r="T291" i="1" s="1"/>
  <c r="T292" i="1"/>
  <c r="T293" i="1"/>
  <c r="T294" i="1"/>
  <c r="S295" i="1"/>
  <c r="T295" i="1" s="1"/>
  <c r="S296" i="1"/>
  <c r="T296" i="1" s="1"/>
  <c r="T297" i="1"/>
  <c r="T298" i="1"/>
  <c r="T299" i="1"/>
  <c r="T300" i="1"/>
  <c r="T301" i="1"/>
  <c r="T302" i="1"/>
  <c r="S303" i="1"/>
  <c r="T303" i="1" s="1"/>
  <c r="T304" i="1"/>
  <c r="T305" i="1"/>
  <c r="S306" i="1"/>
  <c r="T306" i="1" s="1"/>
  <c r="S307" i="1"/>
  <c r="T307" i="1" s="1"/>
  <c r="S308" i="1"/>
  <c r="T308" i="1" s="1"/>
  <c r="S309" i="1"/>
  <c r="T309" i="1" s="1"/>
  <c r="T310" i="1"/>
  <c r="T311" i="1"/>
  <c r="T312" i="1"/>
  <c r="T313" i="1"/>
  <c r="T314" i="1"/>
  <c r="S315" i="1"/>
  <c r="T315" i="1" s="1"/>
  <c r="S316" i="1"/>
  <c r="T316" i="1" s="1"/>
  <c r="T317" i="1"/>
  <c r="T318" i="1"/>
  <c r="T319" i="1"/>
  <c r="T320" i="1"/>
  <c r="T321" i="1"/>
  <c r="S322" i="1"/>
  <c r="T322" i="1" s="1"/>
  <c r="T323" i="1"/>
  <c r="S324" i="1"/>
  <c r="T324" i="1" s="1"/>
  <c r="S325" i="1"/>
  <c r="T325" i="1" s="1"/>
  <c r="S326" i="1"/>
  <c r="T326" i="1" s="1"/>
  <c r="T327" i="1"/>
  <c r="T328" i="1"/>
  <c r="S329" i="1"/>
  <c r="T329" i="1" s="1"/>
  <c r="T330" i="1"/>
  <c r="T331" i="1"/>
  <c r="S332" i="1"/>
  <c r="T332" i="1" s="1"/>
  <c r="S333" i="1"/>
  <c r="T333" i="1" s="1"/>
  <c r="T334" i="1"/>
  <c r="T335" i="1"/>
  <c r="T336" i="1"/>
  <c r="T337" i="1"/>
  <c r="T338" i="1"/>
  <c r="T339" i="1"/>
  <c r="T340" i="1"/>
  <c r="S341" i="1"/>
  <c r="T341" i="1" s="1"/>
  <c r="S342" i="1"/>
  <c r="T342" i="1" s="1"/>
  <c r="T343" i="1"/>
  <c r="S344" i="1"/>
  <c r="T344" i="1" s="1"/>
  <c r="T345" i="1"/>
  <c r="T346" i="1"/>
  <c r="T347" i="1"/>
  <c r="T348" i="1"/>
  <c r="S349" i="1"/>
  <c r="T349" i="1" s="1"/>
  <c r="T350" i="1"/>
  <c r="T351" i="1"/>
  <c r="T352" i="1"/>
  <c r="T353" i="1"/>
  <c r="S354" i="1"/>
  <c r="T354" i="1" s="1"/>
  <c r="T355" i="1"/>
  <c r="T356" i="1"/>
  <c r="S357" i="1"/>
  <c r="T357" i="1" s="1"/>
  <c r="S358" i="1"/>
  <c r="T358" i="1" s="1"/>
  <c r="T359" i="1"/>
  <c r="T360" i="1"/>
  <c r="S361" i="1"/>
  <c r="T361" i="1" s="1"/>
  <c r="S362" i="1"/>
  <c r="T362" i="1" s="1"/>
  <c r="S363" i="1"/>
  <c r="T363" i="1" s="1"/>
  <c r="S364" i="1"/>
  <c r="T364" i="1" s="1"/>
  <c r="T365" i="1"/>
  <c r="T366" i="1"/>
  <c r="T367" i="1"/>
  <c r="S368" i="1"/>
  <c r="T368" i="1" s="1"/>
  <c r="T369" i="1"/>
  <c r="T370" i="1"/>
  <c r="S371" i="1"/>
  <c r="T371" i="1" s="1"/>
  <c r="T372" i="1"/>
  <c r="S373" i="1"/>
  <c r="T373" i="1" s="1"/>
  <c r="T374" i="1"/>
  <c r="S375" i="1"/>
  <c r="T375" i="1" s="1"/>
  <c r="T376" i="1"/>
  <c r="S377" i="1"/>
  <c r="T377" i="1" s="1"/>
  <c r="S378" i="1"/>
  <c r="T378" i="1" s="1"/>
  <c r="S379" i="1"/>
  <c r="T379" i="1" s="1"/>
  <c r="S380" i="1"/>
  <c r="T380" i="1" s="1"/>
  <c r="S381" i="1"/>
  <c r="T381" i="1" s="1"/>
  <c r="T382" i="1"/>
  <c r="S383" i="1"/>
  <c r="T383" i="1" s="1"/>
  <c r="S384" i="1"/>
  <c r="T384" i="1" s="1"/>
  <c r="T385" i="1"/>
  <c r="T386" i="1"/>
  <c r="T387" i="1"/>
  <c r="T388" i="1"/>
  <c r="S389" i="1"/>
  <c r="T389" i="1" s="1"/>
  <c r="T390" i="1"/>
  <c r="S391" i="1"/>
  <c r="T391" i="1" s="1"/>
  <c r="T392" i="1"/>
  <c r="S393" i="1"/>
  <c r="T393" i="1" s="1"/>
  <c r="S394" i="1"/>
  <c r="T394" i="1" s="1"/>
  <c r="T395" i="1"/>
  <c r="S396" i="1"/>
  <c r="T396" i="1" s="1"/>
  <c r="T397" i="1"/>
  <c r="S398" i="1"/>
  <c r="T398" i="1" s="1"/>
  <c r="S399" i="1"/>
  <c r="T399" i="1" s="1"/>
  <c r="T400" i="1"/>
  <c r="T401" i="1"/>
  <c r="T402" i="1"/>
  <c r="T403" i="1"/>
  <c r="T404" i="1"/>
  <c r="S405" i="1"/>
  <c r="T405" i="1" s="1"/>
  <c r="T406" i="1"/>
  <c r="T407" i="1"/>
  <c r="T408" i="1"/>
  <c r="T409" i="1"/>
  <c r="S410" i="1"/>
  <c r="T410" i="1" s="1"/>
  <c r="T411" i="1"/>
  <c r="T412" i="1"/>
  <c r="S413" i="1"/>
  <c r="T413" i="1" s="1"/>
  <c r="S414" i="1"/>
  <c r="T414" i="1" s="1"/>
  <c r="T415" i="1"/>
  <c r="T416" i="1"/>
  <c r="S417" i="1"/>
  <c r="T417" i="1" s="1"/>
  <c r="S418" i="1"/>
  <c r="T418" i="1" s="1"/>
  <c r="S419" i="1"/>
  <c r="T419" i="1" s="1"/>
  <c r="T420" i="1"/>
  <c r="S421" i="1"/>
  <c r="T421" i="1" s="1"/>
  <c r="T422" i="1"/>
  <c r="T423" i="1"/>
  <c r="S424" i="1"/>
  <c r="T424" i="1" s="1"/>
  <c r="T425" i="1"/>
  <c r="T426" i="1"/>
  <c r="S427" i="1"/>
  <c r="T427" i="1" s="1"/>
  <c r="T428" i="1"/>
  <c r="S429" i="1"/>
  <c r="T429" i="1" s="1"/>
  <c r="T430" i="1"/>
  <c r="S431" i="1"/>
  <c r="T431" i="1" s="1"/>
  <c r="S432" i="1"/>
  <c r="T432" i="1" s="1"/>
  <c r="S433" i="1"/>
  <c r="T433" i="1" s="1"/>
  <c r="T434" i="1"/>
  <c r="T435" i="1"/>
  <c r="T436" i="1"/>
  <c r="T437" i="1"/>
  <c r="T438" i="1"/>
  <c r="S439" i="1"/>
  <c r="T439" i="1" s="1"/>
  <c r="S440" i="1"/>
  <c r="T440" i="1" s="1"/>
  <c r="S441" i="1"/>
  <c r="T441" i="1" s="1"/>
  <c r="S442" i="1"/>
  <c r="T442" i="1" s="1"/>
  <c r="T443" i="1"/>
  <c r="S444" i="1"/>
  <c r="T444" i="1" s="1"/>
  <c r="T445" i="1"/>
  <c r="S446" i="1"/>
  <c r="T446" i="1" s="1"/>
  <c r="S447" i="1"/>
  <c r="T447" i="1" s="1"/>
  <c r="S448" i="1"/>
  <c r="T448" i="1" s="1"/>
  <c r="S449" i="1"/>
  <c r="T449" i="1" s="1"/>
  <c r="T450" i="1"/>
  <c r="S451" i="1"/>
  <c r="T451" i="1" s="1"/>
  <c r="S452" i="1"/>
  <c r="T452" i="1" s="1"/>
  <c r="T453" i="1"/>
  <c r="T454" i="1"/>
  <c r="T455" i="1"/>
  <c r="S456" i="1"/>
  <c r="T456" i="1" s="1"/>
  <c r="T457" i="1"/>
  <c r="S458" i="1"/>
  <c r="T458" i="1" s="1"/>
  <c r="T459" i="1"/>
  <c r="T460" i="1"/>
  <c r="T461" i="1"/>
  <c r="S462" i="1"/>
  <c r="T462" i="1" s="1"/>
  <c r="S463" i="1"/>
  <c r="T463" i="1" s="1"/>
  <c r="T464" i="1"/>
  <c r="T465" i="1"/>
  <c r="S466" i="1"/>
  <c r="T466" i="1" s="1"/>
  <c r="T467" i="1"/>
  <c r="S468" i="1"/>
  <c r="T468" i="1" s="1"/>
  <c r="S469" i="1"/>
  <c r="T469" i="1" s="1"/>
  <c r="S470" i="1"/>
  <c r="T470" i="1" s="1"/>
  <c r="T471" i="1"/>
  <c r="S472" i="1"/>
  <c r="T472" i="1" s="1"/>
  <c r="S473" i="1"/>
  <c r="T473" i="1" s="1"/>
  <c r="S474" i="1"/>
  <c r="T474" i="1" s="1"/>
  <c r="S475" i="1"/>
  <c r="T475" i="1" s="1"/>
  <c r="S476" i="1"/>
  <c r="T476" i="1" s="1"/>
  <c r="T477" i="1"/>
  <c r="S478" i="1"/>
  <c r="T478" i="1" s="1"/>
  <c r="T479" i="1"/>
  <c r="S480" i="1"/>
  <c r="T480" i="1" s="1"/>
  <c r="S481" i="1"/>
  <c r="T481" i="1" s="1"/>
  <c r="S482" i="1"/>
  <c r="T482" i="1" s="1"/>
  <c r="T483" i="1"/>
  <c r="T484" i="1"/>
  <c r="T485" i="1"/>
  <c r="S486" i="1"/>
  <c r="T486" i="1" s="1"/>
  <c r="S487" i="1"/>
  <c r="T487" i="1" s="1"/>
  <c r="S488" i="1"/>
  <c r="T488" i="1" s="1"/>
  <c r="S489" i="1"/>
  <c r="T489" i="1" s="1"/>
  <c r="T490" i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T497" i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T505" i="1"/>
  <c r="S506" i="1"/>
  <c r="T506" i="1" s="1"/>
  <c r="T507" i="1"/>
  <c r="S508" i="1"/>
  <c r="T508" i="1" s="1"/>
  <c r="S509" i="1"/>
  <c r="T509" i="1" s="1"/>
  <c r="T510" i="1"/>
  <c r="S511" i="1"/>
  <c r="T511" i="1" s="1"/>
  <c r="T512" i="1"/>
  <c r="S513" i="1"/>
  <c r="T513" i="1" s="1"/>
  <c r="T514" i="1"/>
  <c r="T515" i="1"/>
  <c r="S516" i="1"/>
  <c r="T516" i="1" s="1"/>
  <c r="S517" i="1"/>
  <c r="T517" i="1" s="1"/>
  <c r="S518" i="1"/>
  <c r="T518" i="1" s="1"/>
  <c r="T519" i="1"/>
  <c r="T520" i="1"/>
  <c r="T521" i="1"/>
  <c r="S522" i="1"/>
  <c r="T522" i="1" s="1"/>
  <c r="T523" i="1"/>
  <c r="T524" i="1"/>
  <c r="T525" i="1"/>
  <c r="T526" i="1"/>
  <c r="T527" i="1"/>
  <c r="S528" i="1"/>
  <c r="T528" i="1" s="1"/>
  <c r="T529" i="1"/>
  <c r="T530" i="1"/>
  <c r="S531" i="1"/>
  <c r="T531" i="1" s="1"/>
  <c r="S532" i="1"/>
  <c r="T532" i="1" s="1"/>
  <c r="S533" i="1"/>
  <c r="T533" i="1" s="1"/>
  <c r="T534" i="1"/>
  <c r="S535" i="1"/>
  <c r="T535" i="1" s="1"/>
  <c r="S536" i="1"/>
  <c r="T536" i="1" s="1"/>
  <c r="T537" i="1"/>
  <c r="S538" i="1"/>
  <c r="T538" i="1" s="1"/>
  <c r="T539" i="1"/>
  <c r="T540" i="1"/>
  <c r="S541" i="1"/>
  <c r="T541" i="1" s="1"/>
  <c r="S542" i="1"/>
  <c r="T542" i="1" s="1"/>
  <c r="S543" i="1"/>
  <c r="T543" i="1" s="1"/>
  <c r="T544" i="1"/>
  <c r="S545" i="1"/>
  <c r="T545" i="1" s="1"/>
  <c r="T546" i="1"/>
  <c r="S547" i="1"/>
  <c r="T547" i="1" s="1"/>
  <c r="S548" i="1"/>
  <c r="T548" i="1" s="1"/>
  <c r="T549" i="1"/>
  <c r="S550" i="1"/>
  <c r="T550" i="1" s="1"/>
  <c r="S551" i="1"/>
  <c r="T551" i="1" s="1"/>
  <c r="T552" i="1"/>
  <c r="S553" i="1"/>
  <c r="T553" i="1" s="1"/>
  <c r="T554" i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T562" i="1"/>
  <c r="T563" i="1"/>
  <c r="T564" i="1"/>
  <c r="S565" i="1"/>
  <c r="T565" i="1" s="1"/>
  <c r="T566" i="1"/>
  <c r="T567" i="1"/>
  <c r="S568" i="1"/>
  <c r="T568" i="1" s="1"/>
  <c r="S569" i="1"/>
  <c r="T569" i="1" s="1"/>
  <c r="T570" i="1"/>
  <c r="S571" i="1"/>
  <c r="T571" i="1" s="1"/>
  <c r="S572" i="1"/>
  <c r="T572" i="1" s="1"/>
  <c r="T573" i="1"/>
  <c r="T574" i="1"/>
  <c r="T575" i="1"/>
  <c r="S576" i="1"/>
  <c r="T576" i="1" s="1"/>
  <c r="T577" i="1"/>
  <c r="S578" i="1"/>
  <c r="T578" i="1" s="1"/>
  <c r="S579" i="1"/>
  <c r="T579" i="1" s="1"/>
  <c r="S580" i="1"/>
  <c r="T580" i="1" s="1"/>
  <c r="S581" i="1"/>
  <c r="T581" i="1" s="1"/>
  <c r="T582" i="1"/>
  <c r="S583" i="1"/>
  <c r="T583" i="1" s="1"/>
  <c r="S584" i="1"/>
  <c r="T584" i="1" s="1"/>
  <c r="S585" i="1"/>
  <c r="T585" i="1" s="1"/>
  <c r="T586" i="1"/>
  <c r="S587" i="1"/>
  <c r="T587" i="1" s="1"/>
  <c r="T588" i="1"/>
  <c r="T589" i="1"/>
  <c r="T590" i="1"/>
  <c r="S591" i="1"/>
  <c r="T591" i="1" s="1"/>
  <c r="T592" i="1"/>
  <c r="S593" i="1"/>
  <c r="T593" i="1" s="1"/>
  <c r="S594" i="1"/>
  <c r="T594" i="1" s="1"/>
  <c r="T595" i="1"/>
  <c r="S596" i="1"/>
  <c r="T596" i="1" s="1"/>
  <c r="T597" i="1"/>
  <c r="T598" i="1"/>
  <c r="S599" i="1"/>
  <c r="T599" i="1" s="1"/>
  <c r="S600" i="1"/>
  <c r="T600" i="1" s="1"/>
  <c r="T601" i="1"/>
  <c r="S602" i="1"/>
  <c r="T602" i="1" s="1"/>
  <c r="S603" i="1"/>
  <c r="T603" i="1" s="1"/>
  <c r="S604" i="1"/>
  <c r="T604" i="1" s="1"/>
  <c r="T605" i="1"/>
  <c r="S606" i="1"/>
  <c r="T606" i="1" s="1"/>
  <c r="S607" i="1"/>
  <c r="T607" i="1" s="1"/>
  <c r="S608" i="1"/>
  <c r="T608" i="1" s="1"/>
  <c r="S609" i="1"/>
  <c r="T609" i="1" s="1"/>
  <c r="S610" i="1"/>
  <c r="T610" i="1" s="1"/>
  <c r="T611" i="1"/>
  <c r="S612" i="1"/>
  <c r="T612" i="1" s="1"/>
  <c r="S613" i="1"/>
  <c r="T613" i="1" s="1"/>
  <c r="S614" i="1"/>
  <c r="T614" i="1" s="1"/>
  <c r="T615" i="1"/>
  <c r="S616" i="1"/>
  <c r="T616" i="1" s="1"/>
  <c r="T617" i="1"/>
  <c r="S618" i="1"/>
  <c r="T618" i="1" s="1"/>
  <c r="T619" i="1"/>
  <c r="T620" i="1"/>
  <c r="S621" i="1"/>
  <c r="T621" i="1" s="1"/>
  <c r="T622" i="1"/>
  <c r="S623" i="1"/>
  <c r="T623" i="1" s="1"/>
  <c r="S624" i="1"/>
  <c r="T624" i="1" s="1"/>
  <c r="S625" i="1"/>
  <c r="T625" i="1" s="1"/>
  <c r="T626" i="1"/>
  <c r="S627" i="1"/>
  <c r="T627" i="1" s="1"/>
  <c r="S628" i="1"/>
  <c r="T628" i="1" s="1"/>
  <c r="T629" i="1"/>
  <c r="S630" i="1"/>
  <c r="T630" i="1" s="1"/>
  <c r="S631" i="1"/>
  <c r="T631" i="1" s="1"/>
  <c r="S632" i="1"/>
  <c r="T632" i="1" s="1"/>
  <c r="T633" i="1"/>
  <c r="T634" i="1"/>
  <c r="S635" i="1"/>
  <c r="T635" i="1" s="1"/>
  <c r="S636" i="1"/>
  <c r="T636" i="1" s="1"/>
  <c r="T637" i="1"/>
  <c r="T638" i="1"/>
  <c r="T639" i="1"/>
  <c r="S640" i="1"/>
  <c r="T640" i="1" s="1"/>
  <c r="T641" i="1"/>
  <c r="T642" i="1"/>
  <c r="S643" i="1"/>
  <c r="T643" i="1" s="1"/>
  <c r="T644" i="1"/>
  <c r="T645" i="1"/>
  <c r="T646" i="1"/>
  <c r="T647" i="1"/>
  <c r="T648" i="1"/>
  <c r="S649" i="1"/>
  <c r="T649" i="1" s="1"/>
  <c r="S650" i="1"/>
  <c r="T650" i="1" s="1"/>
  <c r="S651" i="1"/>
  <c r="T651" i="1" s="1"/>
  <c r="S652" i="1"/>
  <c r="T652" i="1" s="1"/>
  <c r="S653" i="1"/>
  <c r="T653" i="1" s="1"/>
  <c r="T654" i="1"/>
  <c r="S655" i="1"/>
  <c r="T655" i="1" s="1"/>
  <c r="T656" i="1"/>
  <c r="T657" i="1"/>
  <c r="T658" i="1"/>
  <c r="T659" i="1"/>
  <c r="S660" i="1"/>
  <c r="T660" i="1" s="1"/>
  <c r="S661" i="1"/>
  <c r="T661" i="1" s="1"/>
  <c r="T662" i="1"/>
  <c r="T663" i="1"/>
  <c r="T664" i="1"/>
  <c r="S665" i="1"/>
  <c r="T665" i="1" s="1"/>
  <c r="S666" i="1"/>
  <c r="T666" i="1" s="1"/>
  <c r="T667" i="1"/>
  <c r="T668" i="1"/>
  <c r="T669" i="1"/>
  <c r="T670" i="1"/>
  <c r="S671" i="1"/>
  <c r="T671" i="1" s="1"/>
  <c r="S672" i="1"/>
  <c r="T672" i="1" s="1"/>
  <c r="T673" i="1"/>
  <c r="T674" i="1"/>
  <c r="S675" i="1"/>
  <c r="T675" i="1" s="1"/>
  <c r="S676" i="1"/>
  <c r="T676" i="1" s="1"/>
  <c r="T677" i="1"/>
  <c r="S678" i="1"/>
  <c r="T678" i="1" s="1"/>
  <c r="S679" i="1"/>
  <c r="T679" i="1" s="1"/>
  <c r="S680" i="1"/>
  <c r="T680" i="1" s="1"/>
  <c r="T681" i="1"/>
  <c r="S682" i="1"/>
  <c r="T682" i="1" s="1"/>
  <c r="T683" i="1"/>
  <c r="S684" i="1"/>
  <c r="T684" i="1" s="1"/>
  <c r="S685" i="1"/>
  <c r="T685" i="1" s="1"/>
  <c r="T686" i="1"/>
  <c r="S687" i="1"/>
  <c r="T687" i="1" s="1"/>
  <c r="T688" i="1"/>
  <c r="T689" i="1"/>
  <c r="T690" i="1"/>
  <c r="S691" i="1"/>
  <c r="T691" i="1" s="1"/>
  <c r="T692" i="1"/>
  <c r="T693" i="1"/>
  <c r="T694" i="1"/>
  <c r="S695" i="1"/>
  <c r="T695" i="1" s="1"/>
  <c r="S696" i="1"/>
  <c r="T696" i="1" s="1"/>
  <c r="T697" i="1"/>
  <c r="S698" i="1"/>
  <c r="T698" i="1" s="1"/>
  <c r="S699" i="1"/>
  <c r="T699" i="1" s="1"/>
  <c r="T700" i="1"/>
  <c r="T701" i="1"/>
  <c r="S702" i="1"/>
  <c r="T702" i="1" s="1"/>
  <c r="S703" i="1"/>
  <c r="T703" i="1" s="1"/>
  <c r="S704" i="1"/>
  <c r="T704" i="1" s="1"/>
  <c r="T705" i="1"/>
  <c r="T706" i="1"/>
  <c r="S707" i="1"/>
  <c r="T707" i="1" s="1"/>
  <c r="S708" i="1"/>
  <c r="T708" i="1" s="1"/>
  <c r="T709" i="1"/>
  <c r="T710" i="1"/>
  <c r="T711" i="1"/>
  <c r="T712" i="1"/>
  <c r="T713" i="1"/>
  <c r="T714" i="1"/>
  <c r="T715" i="1"/>
  <c r="T716" i="1"/>
  <c r="S717" i="1"/>
  <c r="T717" i="1" s="1"/>
  <c r="S718" i="1"/>
  <c r="T718" i="1" s="1"/>
  <c r="T719" i="1"/>
  <c r="T720" i="1"/>
  <c r="S721" i="1"/>
  <c r="T721" i="1" s="1"/>
  <c r="S722" i="1"/>
  <c r="T722" i="1" s="1"/>
  <c r="T723" i="1"/>
  <c r="T724" i="1"/>
  <c r="S725" i="1"/>
  <c r="T725" i="1" s="1"/>
  <c r="T726" i="1"/>
  <c r="S727" i="1"/>
  <c r="T727" i="1" s="1"/>
  <c r="T728" i="1"/>
  <c r="T729" i="1"/>
  <c r="S730" i="1"/>
  <c r="T730" i="1" s="1"/>
  <c r="S731" i="1"/>
  <c r="T731" i="1" s="1"/>
  <c r="S732" i="1"/>
  <c r="T732" i="1" s="1"/>
  <c r="T733" i="1"/>
  <c r="T734" i="1"/>
  <c r="S735" i="1"/>
  <c r="T735" i="1" s="1"/>
  <c r="S736" i="1"/>
  <c r="T736" i="1" s="1"/>
  <c r="S737" i="1"/>
  <c r="T737" i="1" s="1"/>
  <c r="T738" i="1"/>
  <c r="S739" i="1"/>
  <c r="T739" i="1" s="1"/>
  <c r="T740" i="1"/>
  <c r="S741" i="1"/>
  <c r="T741" i="1" s="1"/>
  <c r="T742" i="1"/>
  <c r="S743" i="1"/>
  <c r="T743" i="1" s="1"/>
  <c r="T744" i="1"/>
  <c r="T745" i="1"/>
  <c r="S746" i="1"/>
  <c r="T746" i="1" s="1"/>
  <c r="S747" i="1"/>
  <c r="T747" i="1" s="1"/>
  <c r="T748" i="1"/>
  <c r="S749" i="1"/>
  <c r="T749" i="1" s="1"/>
  <c r="S750" i="1"/>
  <c r="T750" i="1" s="1"/>
  <c r="S751" i="1"/>
  <c r="T751" i="1" s="1"/>
  <c r="T752" i="1"/>
  <c r="T753" i="1"/>
  <c r="T754" i="1"/>
  <c r="T755" i="1"/>
  <c r="T756" i="1"/>
  <c r="S757" i="1"/>
  <c r="T757" i="1" s="1"/>
  <c r="S758" i="1"/>
  <c r="T758" i="1" s="1"/>
  <c r="T759" i="1"/>
  <c r="S760" i="1"/>
  <c r="T760" i="1" s="1"/>
  <c r="T761" i="1"/>
  <c r="S762" i="1"/>
  <c r="T762" i="1" s="1"/>
  <c r="T763" i="1"/>
  <c r="T764" i="1"/>
  <c r="S765" i="1"/>
  <c r="T765" i="1" s="1"/>
  <c r="T766" i="1"/>
  <c r="S767" i="1"/>
  <c r="T767" i="1" s="1"/>
  <c r="T768" i="1"/>
  <c r="T769" i="1"/>
  <c r="S770" i="1"/>
  <c r="T770" i="1" s="1"/>
  <c r="S771" i="1"/>
  <c r="T771" i="1" s="1"/>
  <c r="T772" i="1"/>
  <c r="T773" i="1"/>
  <c r="S774" i="1"/>
  <c r="T774" i="1" s="1"/>
  <c r="S775" i="1"/>
  <c r="T775" i="1" s="1"/>
  <c r="T776" i="1"/>
  <c r="S777" i="1"/>
  <c r="T777" i="1" s="1"/>
  <c r="T778" i="1"/>
  <c r="S779" i="1"/>
  <c r="T779" i="1" s="1"/>
  <c r="T780" i="1"/>
  <c r="S781" i="1"/>
  <c r="T781" i="1" s="1"/>
  <c r="T782" i="1"/>
  <c r="T783" i="1"/>
  <c r="S784" i="1"/>
  <c r="T784" i="1" s="1"/>
  <c r="S785" i="1"/>
  <c r="T785" i="1" s="1"/>
  <c r="T786" i="1"/>
  <c r="T787" i="1"/>
  <c r="S788" i="1"/>
  <c r="T788" i="1" s="1"/>
  <c r="S789" i="1"/>
  <c r="T789" i="1" s="1"/>
  <c r="T790" i="1"/>
  <c r="T791" i="1"/>
  <c r="S792" i="1"/>
  <c r="T792" i="1" s="1"/>
  <c r="T793" i="1"/>
  <c r="T794" i="1"/>
  <c r="T795" i="1"/>
  <c r="S796" i="1"/>
  <c r="T796" i="1" s="1"/>
  <c r="T797" i="1"/>
  <c r="S798" i="1"/>
  <c r="T798" i="1" s="1"/>
  <c r="S799" i="1"/>
  <c r="T799" i="1" s="1"/>
  <c r="T800" i="1"/>
  <c r="T801" i="1"/>
  <c r="T802" i="1"/>
  <c r="S803" i="1"/>
  <c r="T803" i="1" s="1"/>
  <c r="T4" i="1"/>
  <c r="M6" i="1"/>
  <c r="O6" i="1" s="1"/>
  <c r="Q6" i="1" s="1"/>
  <c r="V6" i="1" s="1"/>
  <c r="M7" i="1"/>
  <c r="O7" i="1" s="1"/>
  <c r="Q7" i="1" s="1"/>
  <c r="V7" i="1" s="1"/>
  <c r="M8" i="1"/>
  <c r="O8" i="1" s="1"/>
  <c r="Q8" i="1" s="1"/>
  <c r="V8" i="1" s="1"/>
  <c r="M9" i="1"/>
  <c r="O9" i="1" s="1"/>
  <c r="Q9" i="1" s="1"/>
  <c r="V9" i="1" s="1"/>
  <c r="M10" i="1"/>
  <c r="O10" i="1" s="1"/>
  <c r="Q10" i="1" s="1"/>
  <c r="V10" i="1" s="1"/>
  <c r="M11" i="1"/>
  <c r="O11" i="1" s="1"/>
  <c r="Q11" i="1" s="1"/>
  <c r="V11" i="1" s="1"/>
  <c r="M12" i="1"/>
  <c r="O12" i="1" s="1"/>
  <c r="Q12" i="1" s="1"/>
  <c r="V12" i="1" s="1"/>
  <c r="M13" i="1"/>
  <c r="O13" i="1" s="1"/>
  <c r="Q13" i="1" s="1"/>
  <c r="V13" i="1" s="1"/>
  <c r="M14" i="1"/>
  <c r="O14" i="1" s="1"/>
  <c r="Q14" i="1" s="1"/>
  <c r="V14" i="1" s="1"/>
  <c r="M15" i="1"/>
  <c r="O15" i="1" s="1"/>
  <c r="Q15" i="1" s="1"/>
  <c r="V15" i="1" s="1"/>
  <c r="M16" i="1"/>
  <c r="O16" i="1" s="1"/>
  <c r="Q16" i="1" s="1"/>
  <c r="V16" i="1" s="1"/>
  <c r="M17" i="1"/>
  <c r="O17" i="1" s="1"/>
  <c r="Q17" i="1" s="1"/>
  <c r="V17" i="1" s="1"/>
  <c r="M18" i="1"/>
  <c r="O18" i="1" s="1"/>
  <c r="Q18" i="1" s="1"/>
  <c r="V18" i="1" s="1"/>
  <c r="M19" i="1"/>
  <c r="O19" i="1" s="1"/>
  <c r="Q19" i="1" s="1"/>
  <c r="V19" i="1" s="1"/>
  <c r="M20" i="1"/>
  <c r="O20" i="1" s="1"/>
  <c r="Q20" i="1" s="1"/>
  <c r="V20" i="1" s="1"/>
  <c r="M21" i="1"/>
  <c r="O21" i="1" s="1"/>
  <c r="Q21" i="1" s="1"/>
  <c r="V21" i="1" s="1"/>
  <c r="M22" i="1"/>
  <c r="O22" i="1" s="1"/>
  <c r="Q22" i="1" s="1"/>
  <c r="V22" i="1" s="1"/>
  <c r="M23" i="1"/>
  <c r="O23" i="1" s="1"/>
  <c r="Q23" i="1" s="1"/>
  <c r="V23" i="1" s="1"/>
  <c r="M24" i="1"/>
  <c r="O24" i="1" s="1"/>
  <c r="Q24" i="1" s="1"/>
  <c r="V24" i="1" s="1"/>
  <c r="M25" i="1"/>
  <c r="O25" i="1" s="1"/>
  <c r="Q25" i="1" s="1"/>
  <c r="V25" i="1" s="1"/>
  <c r="M26" i="1"/>
  <c r="O26" i="1" s="1"/>
  <c r="Q26" i="1" s="1"/>
  <c r="V26" i="1" s="1"/>
  <c r="M27" i="1"/>
  <c r="O27" i="1" s="1"/>
  <c r="Q27" i="1" s="1"/>
  <c r="V27" i="1" s="1"/>
  <c r="M28" i="1"/>
  <c r="O28" i="1" s="1"/>
  <c r="Q28" i="1" s="1"/>
  <c r="V28" i="1" s="1"/>
  <c r="M29" i="1"/>
  <c r="O29" i="1" s="1"/>
  <c r="Q29" i="1" s="1"/>
  <c r="V29" i="1" s="1"/>
  <c r="M30" i="1"/>
  <c r="O30" i="1" s="1"/>
  <c r="Q30" i="1" s="1"/>
  <c r="V30" i="1" s="1"/>
  <c r="M31" i="1"/>
  <c r="O31" i="1" s="1"/>
  <c r="Q31" i="1" s="1"/>
  <c r="V31" i="1" s="1"/>
  <c r="M32" i="1"/>
  <c r="O32" i="1" s="1"/>
  <c r="Q32" i="1" s="1"/>
  <c r="V32" i="1" s="1"/>
  <c r="M33" i="1"/>
  <c r="O33" i="1" s="1"/>
  <c r="Q33" i="1" s="1"/>
  <c r="V33" i="1" s="1"/>
  <c r="M34" i="1"/>
  <c r="O34" i="1" s="1"/>
  <c r="Q34" i="1" s="1"/>
  <c r="V34" i="1" s="1"/>
  <c r="M35" i="1"/>
  <c r="O35" i="1" s="1"/>
  <c r="Q35" i="1" s="1"/>
  <c r="V35" i="1" s="1"/>
  <c r="M36" i="1"/>
  <c r="O36" i="1" s="1"/>
  <c r="Q36" i="1" s="1"/>
  <c r="V36" i="1" s="1"/>
  <c r="M37" i="1"/>
  <c r="O37" i="1" s="1"/>
  <c r="Q37" i="1" s="1"/>
  <c r="V37" i="1" s="1"/>
  <c r="M38" i="1"/>
  <c r="O38" i="1" s="1"/>
  <c r="Q38" i="1" s="1"/>
  <c r="V38" i="1" s="1"/>
  <c r="M39" i="1"/>
  <c r="O39" i="1" s="1"/>
  <c r="Q39" i="1" s="1"/>
  <c r="V39" i="1" s="1"/>
  <c r="M40" i="1"/>
  <c r="O40" i="1" s="1"/>
  <c r="Q40" i="1" s="1"/>
  <c r="V40" i="1" s="1"/>
  <c r="M41" i="1"/>
  <c r="O41" i="1" s="1"/>
  <c r="Q41" i="1" s="1"/>
  <c r="V41" i="1" s="1"/>
  <c r="M42" i="1"/>
  <c r="O42" i="1" s="1"/>
  <c r="Q42" i="1" s="1"/>
  <c r="V42" i="1" s="1"/>
  <c r="M43" i="1"/>
  <c r="O43" i="1" s="1"/>
  <c r="Q43" i="1" s="1"/>
  <c r="V43" i="1" s="1"/>
  <c r="M44" i="1"/>
  <c r="O44" i="1" s="1"/>
  <c r="Q44" i="1" s="1"/>
  <c r="V44" i="1" s="1"/>
  <c r="M45" i="1"/>
  <c r="O45" i="1" s="1"/>
  <c r="Q45" i="1" s="1"/>
  <c r="V45" i="1" s="1"/>
  <c r="M46" i="1"/>
  <c r="O46" i="1" s="1"/>
  <c r="Q46" i="1" s="1"/>
  <c r="V46" i="1" s="1"/>
  <c r="M47" i="1"/>
  <c r="O47" i="1" s="1"/>
  <c r="Q47" i="1" s="1"/>
  <c r="V47" i="1" s="1"/>
  <c r="M48" i="1"/>
  <c r="O48" i="1" s="1"/>
  <c r="Q48" i="1" s="1"/>
  <c r="V48" i="1" s="1"/>
  <c r="M49" i="1"/>
  <c r="O49" i="1" s="1"/>
  <c r="Q49" i="1" s="1"/>
  <c r="V49" i="1" s="1"/>
  <c r="M50" i="1"/>
  <c r="O50" i="1" s="1"/>
  <c r="Q50" i="1" s="1"/>
  <c r="V50" i="1" s="1"/>
  <c r="M51" i="1"/>
  <c r="O51" i="1" s="1"/>
  <c r="Q51" i="1" s="1"/>
  <c r="V51" i="1" s="1"/>
  <c r="M52" i="1"/>
  <c r="O52" i="1" s="1"/>
  <c r="Q52" i="1" s="1"/>
  <c r="V52" i="1" s="1"/>
  <c r="M53" i="1"/>
  <c r="O53" i="1" s="1"/>
  <c r="Q53" i="1" s="1"/>
  <c r="V53" i="1" s="1"/>
  <c r="M54" i="1"/>
  <c r="O54" i="1" s="1"/>
  <c r="Q54" i="1" s="1"/>
  <c r="V54" i="1" s="1"/>
  <c r="M55" i="1"/>
  <c r="O55" i="1" s="1"/>
  <c r="Q55" i="1" s="1"/>
  <c r="V55" i="1" s="1"/>
  <c r="M56" i="1"/>
  <c r="O56" i="1" s="1"/>
  <c r="Q56" i="1" s="1"/>
  <c r="V56" i="1" s="1"/>
  <c r="M57" i="1"/>
  <c r="O57" i="1" s="1"/>
  <c r="Q57" i="1" s="1"/>
  <c r="V57" i="1" s="1"/>
  <c r="M58" i="1"/>
  <c r="O58" i="1" s="1"/>
  <c r="Q58" i="1" s="1"/>
  <c r="V58" i="1" s="1"/>
  <c r="M59" i="1"/>
  <c r="O59" i="1" s="1"/>
  <c r="Q59" i="1" s="1"/>
  <c r="V59" i="1" s="1"/>
  <c r="M60" i="1"/>
  <c r="O60" i="1" s="1"/>
  <c r="Q60" i="1" s="1"/>
  <c r="V60" i="1" s="1"/>
  <c r="M61" i="1"/>
  <c r="O61" i="1" s="1"/>
  <c r="Q61" i="1" s="1"/>
  <c r="V61" i="1" s="1"/>
  <c r="M62" i="1"/>
  <c r="O62" i="1" s="1"/>
  <c r="Q62" i="1" s="1"/>
  <c r="V62" i="1" s="1"/>
  <c r="M63" i="1"/>
  <c r="O63" i="1" s="1"/>
  <c r="Q63" i="1" s="1"/>
  <c r="V63" i="1" s="1"/>
  <c r="M64" i="1"/>
  <c r="O64" i="1" s="1"/>
  <c r="Q64" i="1" s="1"/>
  <c r="V64" i="1" s="1"/>
  <c r="M65" i="1"/>
  <c r="O65" i="1" s="1"/>
  <c r="Q65" i="1" s="1"/>
  <c r="V65" i="1" s="1"/>
  <c r="M66" i="1"/>
  <c r="O66" i="1" s="1"/>
  <c r="Q66" i="1" s="1"/>
  <c r="V66" i="1" s="1"/>
  <c r="M67" i="1"/>
  <c r="O67" i="1" s="1"/>
  <c r="Q67" i="1" s="1"/>
  <c r="V67" i="1" s="1"/>
  <c r="M68" i="1"/>
  <c r="O68" i="1" s="1"/>
  <c r="Q68" i="1" s="1"/>
  <c r="V68" i="1" s="1"/>
  <c r="M69" i="1"/>
  <c r="O69" i="1" s="1"/>
  <c r="Q69" i="1" s="1"/>
  <c r="V69" i="1" s="1"/>
  <c r="M70" i="1"/>
  <c r="O70" i="1" s="1"/>
  <c r="Q70" i="1" s="1"/>
  <c r="V70" i="1" s="1"/>
  <c r="M71" i="1"/>
  <c r="O71" i="1" s="1"/>
  <c r="Q71" i="1" s="1"/>
  <c r="V71" i="1" s="1"/>
  <c r="M72" i="1"/>
  <c r="O72" i="1" s="1"/>
  <c r="Q72" i="1" s="1"/>
  <c r="V72" i="1" s="1"/>
  <c r="M73" i="1"/>
  <c r="O73" i="1" s="1"/>
  <c r="Q73" i="1" s="1"/>
  <c r="V73" i="1" s="1"/>
  <c r="M74" i="1"/>
  <c r="O74" i="1" s="1"/>
  <c r="Q74" i="1" s="1"/>
  <c r="V74" i="1" s="1"/>
  <c r="M75" i="1"/>
  <c r="O75" i="1" s="1"/>
  <c r="Q75" i="1" s="1"/>
  <c r="V75" i="1" s="1"/>
  <c r="M76" i="1"/>
  <c r="O76" i="1" s="1"/>
  <c r="Q76" i="1" s="1"/>
  <c r="V76" i="1" s="1"/>
  <c r="M77" i="1"/>
  <c r="O77" i="1" s="1"/>
  <c r="Q77" i="1" s="1"/>
  <c r="V77" i="1" s="1"/>
  <c r="M78" i="1"/>
  <c r="O78" i="1" s="1"/>
  <c r="Q78" i="1" s="1"/>
  <c r="V78" i="1" s="1"/>
  <c r="M79" i="1"/>
  <c r="O79" i="1" s="1"/>
  <c r="Q79" i="1" s="1"/>
  <c r="V79" i="1" s="1"/>
  <c r="M80" i="1"/>
  <c r="O80" i="1" s="1"/>
  <c r="Q80" i="1" s="1"/>
  <c r="V80" i="1" s="1"/>
  <c r="M81" i="1"/>
  <c r="O81" i="1" s="1"/>
  <c r="Q81" i="1" s="1"/>
  <c r="V81" i="1" s="1"/>
  <c r="M82" i="1"/>
  <c r="O82" i="1" s="1"/>
  <c r="Q82" i="1" s="1"/>
  <c r="V82" i="1" s="1"/>
  <c r="M83" i="1"/>
  <c r="O83" i="1" s="1"/>
  <c r="Q83" i="1" s="1"/>
  <c r="V83" i="1" s="1"/>
  <c r="M84" i="1"/>
  <c r="O84" i="1" s="1"/>
  <c r="Q84" i="1" s="1"/>
  <c r="V84" i="1" s="1"/>
  <c r="M85" i="1"/>
  <c r="O85" i="1" s="1"/>
  <c r="Q85" i="1" s="1"/>
  <c r="V85" i="1" s="1"/>
  <c r="M86" i="1"/>
  <c r="O86" i="1" s="1"/>
  <c r="Q86" i="1" s="1"/>
  <c r="V86" i="1" s="1"/>
  <c r="M87" i="1"/>
  <c r="O87" i="1" s="1"/>
  <c r="Q87" i="1" s="1"/>
  <c r="V87" i="1" s="1"/>
  <c r="M88" i="1"/>
  <c r="O88" i="1" s="1"/>
  <c r="Q88" i="1" s="1"/>
  <c r="V88" i="1" s="1"/>
  <c r="M89" i="1"/>
  <c r="O89" i="1" s="1"/>
  <c r="Q89" i="1" s="1"/>
  <c r="V89" i="1" s="1"/>
  <c r="M90" i="1"/>
  <c r="O90" i="1" s="1"/>
  <c r="Q90" i="1" s="1"/>
  <c r="V90" i="1" s="1"/>
  <c r="M91" i="1"/>
  <c r="O91" i="1" s="1"/>
  <c r="Q91" i="1" s="1"/>
  <c r="V91" i="1" s="1"/>
  <c r="M92" i="1"/>
  <c r="O92" i="1" s="1"/>
  <c r="Q92" i="1" s="1"/>
  <c r="V92" i="1" s="1"/>
  <c r="M93" i="1"/>
  <c r="O93" i="1" s="1"/>
  <c r="Q93" i="1" s="1"/>
  <c r="V93" i="1" s="1"/>
  <c r="M94" i="1"/>
  <c r="O94" i="1" s="1"/>
  <c r="Q94" i="1" s="1"/>
  <c r="V94" i="1" s="1"/>
  <c r="M95" i="1"/>
  <c r="O95" i="1" s="1"/>
  <c r="Q95" i="1" s="1"/>
  <c r="V95" i="1" s="1"/>
  <c r="M96" i="1"/>
  <c r="O96" i="1" s="1"/>
  <c r="Q96" i="1" s="1"/>
  <c r="V96" i="1" s="1"/>
  <c r="M97" i="1"/>
  <c r="O97" i="1" s="1"/>
  <c r="Q97" i="1" s="1"/>
  <c r="V97" i="1" s="1"/>
  <c r="M98" i="1"/>
  <c r="O98" i="1" s="1"/>
  <c r="Q98" i="1" s="1"/>
  <c r="V98" i="1" s="1"/>
  <c r="M99" i="1"/>
  <c r="O99" i="1" s="1"/>
  <c r="Q99" i="1" s="1"/>
  <c r="V99" i="1" s="1"/>
  <c r="M100" i="1"/>
  <c r="O100" i="1" s="1"/>
  <c r="Q100" i="1" s="1"/>
  <c r="V100" i="1" s="1"/>
  <c r="M101" i="1"/>
  <c r="O101" i="1" s="1"/>
  <c r="Q101" i="1" s="1"/>
  <c r="V101" i="1" s="1"/>
  <c r="M102" i="1"/>
  <c r="O102" i="1" s="1"/>
  <c r="Q102" i="1" s="1"/>
  <c r="V102" i="1" s="1"/>
  <c r="M103" i="1"/>
  <c r="O103" i="1" s="1"/>
  <c r="Q103" i="1" s="1"/>
  <c r="V103" i="1" s="1"/>
  <c r="M104" i="1"/>
  <c r="O104" i="1" s="1"/>
  <c r="Q104" i="1" s="1"/>
  <c r="V104" i="1" s="1"/>
  <c r="M105" i="1"/>
  <c r="O105" i="1" s="1"/>
  <c r="Q105" i="1" s="1"/>
  <c r="V105" i="1" s="1"/>
  <c r="M106" i="1"/>
  <c r="O106" i="1" s="1"/>
  <c r="Q106" i="1" s="1"/>
  <c r="V106" i="1" s="1"/>
  <c r="M107" i="1"/>
  <c r="O107" i="1" s="1"/>
  <c r="Q107" i="1" s="1"/>
  <c r="V107" i="1" s="1"/>
  <c r="M108" i="1"/>
  <c r="O108" i="1" s="1"/>
  <c r="Q108" i="1" s="1"/>
  <c r="V108" i="1" s="1"/>
  <c r="M109" i="1"/>
  <c r="O109" i="1" s="1"/>
  <c r="Q109" i="1" s="1"/>
  <c r="V109" i="1" s="1"/>
  <c r="M110" i="1"/>
  <c r="O110" i="1" s="1"/>
  <c r="Q110" i="1" s="1"/>
  <c r="V110" i="1" s="1"/>
  <c r="M111" i="1"/>
  <c r="O111" i="1" s="1"/>
  <c r="Q111" i="1" s="1"/>
  <c r="V111" i="1" s="1"/>
  <c r="M112" i="1"/>
  <c r="O112" i="1" s="1"/>
  <c r="Q112" i="1" s="1"/>
  <c r="V112" i="1" s="1"/>
  <c r="M113" i="1"/>
  <c r="O113" i="1" s="1"/>
  <c r="Q113" i="1" s="1"/>
  <c r="V113" i="1" s="1"/>
  <c r="M114" i="1"/>
  <c r="O114" i="1" s="1"/>
  <c r="Q114" i="1" s="1"/>
  <c r="V114" i="1" s="1"/>
  <c r="M115" i="1"/>
  <c r="O115" i="1" s="1"/>
  <c r="Q115" i="1" s="1"/>
  <c r="V115" i="1" s="1"/>
  <c r="M116" i="1"/>
  <c r="O116" i="1" s="1"/>
  <c r="Q116" i="1" s="1"/>
  <c r="V116" i="1" s="1"/>
  <c r="M117" i="1"/>
  <c r="O117" i="1" s="1"/>
  <c r="Q117" i="1" s="1"/>
  <c r="V117" i="1" s="1"/>
  <c r="M118" i="1"/>
  <c r="O118" i="1" s="1"/>
  <c r="Q118" i="1" s="1"/>
  <c r="V118" i="1" s="1"/>
  <c r="M119" i="1"/>
  <c r="O119" i="1" s="1"/>
  <c r="Q119" i="1" s="1"/>
  <c r="V119" i="1" s="1"/>
  <c r="M120" i="1"/>
  <c r="O120" i="1" s="1"/>
  <c r="Q120" i="1" s="1"/>
  <c r="V120" i="1" s="1"/>
  <c r="M121" i="1"/>
  <c r="O121" i="1" s="1"/>
  <c r="Q121" i="1" s="1"/>
  <c r="V121" i="1" s="1"/>
  <c r="M122" i="1"/>
  <c r="O122" i="1" s="1"/>
  <c r="Q122" i="1" s="1"/>
  <c r="V122" i="1" s="1"/>
  <c r="M123" i="1"/>
  <c r="O123" i="1" s="1"/>
  <c r="Q123" i="1" s="1"/>
  <c r="V123" i="1" s="1"/>
  <c r="M124" i="1"/>
  <c r="O124" i="1" s="1"/>
  <c r="Q124" i="1" s="1"/>
  <c r="V124" i="1" s="1"/>
  <c r="M125" i="1"/>
  <c r="O125" i="1" s="1"/>
  <c r="Q125" i="1" s="1"/>
  <c r="V125" i="1" s="1"/>
  <c r="M126" i="1"/>
  <c r="O126" i="1" s="1"/>
  <c r="Q126" i="1" s="1"/>
  <c r="V126" i="1" s="1"/>
  <c r="M127" i="1"/>
  <c r="O127" i="1" s="1"/>
  <c r="Q127" i="1" s="1"/>
  <c r="V127" i="1" s="1"/>
  <c r="M128" i="1"/>
  <c r="O128" i="1" s="1"/>
  <c r="Q128" i="1" s="1"/>
  <c r="V128" i="1" s="1"/>
  <c r="M129" i="1"/>
  <c r="O129" i="1" s="1"/>
  <c r="Q129" i="1" s="1"/>
  <c r="V129" i="1" s="1"/>
  <c r="M130" i="1"/>
  <c r="O130" i="1" s="1"/>
  <c r="Q130" i="1" s="1"/>
  <c r="V130" i="1" s="1"/>
  <c r="M131" i="1"/>
  <c r="O131" i="1" s="1"/>
  <c r="Q131" i="1" s="1"/>
  <c r="V131" i="1" s="1"/>
  <c r="M132" i="1"/>
  <c r="O132" i="1" s="1"/>
  <c r="Q132" i="1" s="1"/>
  <c r="V132" i="1" s="1"/>
  <c r="M133" i="1"/>
  <c r="O133" i="1" s="1"/>
  <c r="Q133" i="1" s="1"/>
  <c r="V133" i="1" s="1"/>
  <c r="M134" i="1"/>
  <c r="O134" i="1" s="1"/>
  <c r="Q134" i="1" s="1"/>
  <c r="V134" i="1" s="1"/>
  <c r="M135" i="1"/>
  <c r="O135" i="1" s="1"/>
  <c r="Q135" i="1" s="1"/>
  <c r="V135" i="1" s="1"/>
  <c r="M136" i="1"/>
  <c r="O136" i="1" s="1"/>
  <c r="Q136" i="1" s="1"/>
  <c r="V136" i="1" s="1"/>
  <c r="M137" i="1"/>
  <c r="O137" i="1" s="1"/>
  <c r="Q137" i="1" s="1"/>
  <c r="V137" i="1" s="1"/>
  <c r="M138" i="1"/>
  <c r="O138" i="1" s="1"/>
  <c r="Q138" i="1" s="1"/>
  <c r="V138" i="1" s="1"/>
  <c r="M139" i="1"/>
  <c r="O139" i="1" s="1"/>
  <c r="Q139" i="1" s="1"/>
  <c r="V139" i="1" s="1"/>
  <c r="M140" i="1"/>
  <c r="O140" i="1" s="1"/>
  <c r="Q140" i="1" s="1"/>
  <c r="V140" i="1" s="1"/>
  <c r="M141" i="1"/>
  <c r="O141" i="1" s="1"/>
  <c r="Q141" i="1" s="1"/>
  <c r="V141" i="1" s="1"/>
  <c r="M142" i="1"/>
  <c r="O142" i="1" s="1"/>
  <c r="Q142" i="1" s="1"/>
  <c r="V142" i="1" s="1"/>
  <c r="M143" i="1"/>
  <c r="O143" i="1" s="1"/>
  <c r="Q143" i="1" s="1"/>
  <c r="V143" i="1" s="1"/>
  <c r="M144" i="1"/>
  <c r="O144" i="1" s="1"/>
  <c r="Q144" i="1" s="1"/>
  <c r="V144" i="1" s="1"/>
  <c r="M145" i="1"/>
  <c r="O145" i="1" s="1"/>
  <c r="Q145" i="1" s="1"/>
  <c r="V145" i="1" s="1"/>
  <c r="M146" i="1"/>
  <c r="O146" i="1" s="1"/>
  <c r="Q146" i="1" s="1"/>
  <c r="V146" i="1" s="1"/>
  <c r="M147" i="1"/>
  <c r="O147" i="1" s="1"/>
  <c r="Q147" i="1" s="1"/>
  <c r="V147" i="1" s="1"/>
  <c r="M148" i="1"/>
  <c r="O148" i="1" s="1"/>
  <c r="Q148" i="1" s="1"/>
  <c r="V148" i="1" s="1"/>
  <c r="M149" i="1"/>
  <c r="O149" i="1" s="1"/>
  <c r="Q149" i="1" s="1"/>
  <c r="V149" i="1" s="1"/>
  <c r="M150" i="1"/>
  <c r="O150" i="1" s="1"/>
  <c r="Q150" i="1" s="1"/>
  <c r="V150" i="1" s="1"/>
  <c r="M151" i="1"/>
  <c r="O151" i="1" s="1"/>
  <c r="Q151" i="1" s="1"/>
  <c r="V151" i="1" s="1"/>
  <c r="M152" i="1"/>
  <c r="O152" i="1" s="1"/>
  <c r="Q152" i="1" s="1"/>
  <c r="V152" i="1" s="1"/>
  <c r="M153" i="1"/>
  <c r="O153" i="1" s="1"/>
  <c r="Q153" i="1" s="1"/>
  <c r="V153" i="1" s="1"/>
  <c r="M154" i="1"/>
  <c r="O154" i="1" s="1"/>
  <c r="Q154" i="1" s="1"/>
  <c r="V154" i="1" s="1"/>
  <c r="M155" i="1"/>
  <c r="O155" i="1" s="1"/>
  <c r="Q155" i="1" s="1"/>
  <c r="V155" i="1" s="1"/>
  <c r="M156" i="1"/>
  <c r="O156" i="1" s="1"/>
  <c r="Q156" i="1" s="1"/>
  <c r="V156" i="1" s="1"/>
  <c r="M157" i="1"/>
  <c r="O157" i="1" s="1"/>
  <c r="Q157" i="1" s="1"/>
  <c r="V157" i="1" s="1"/>
  <c r="M158" i="1"/>
  <c r="O158" i="1" s="1"/>
  <c r="Q158" i="1" s="1"/>
  <c r="V158" i="1" s="1"/>
  <c r="M159" i="1"/>
  <c r="O159" i="1" s="1"/>
  <c r="Q159" i="1" s="1"/>
  <c r="V159" i="1" s="1"/>
  <c r="M160" i="1"/>
  <c r="O160" i="1" s="1"/>
  <c r="Q160" i="1" s="1"/>
  <c r="V160" i="1" s="1"/>
  <c r="M161" i="1"/>
  <c r="O161" i="1" s="1"/>
  <c r="Q161" i="1" s="1"/>
  <c r="V161" i="1" s="1"/>
  <c r="M162" i="1"/>
  <c r="O162" i="1" s="1"/>
  <c r="Q162" i="1" s="1"/>
  <c r="V162" i="1" s="1"/>
  <c r="M163" i="1"/>
  <c r="O163" i="1" s="1"/>
  <c r="Q163" i="1" s="1"/>
  <c r="V163" i="1" s="1"/>
  <c r="M164" i="1"/>
  <c r="O164" i="1" s="1"/>
  <c r="Q164" i="1" s="1"/>
  <c r="V164" i="1" s="1"/>
  <c r="M165" i="1"/>
  <c r="O165" i="1" s="1"/>
  <c r="Q165" i="1" s="1"/>
  <c r="V165" i="1" s="1"/>
  <c r="M166" i="1"/>
  <c r="O166" i="1" s="1"/>
  <c r="Q166" i="1" s="1"/>
  <c r="V166" i="1" s="1"/>
  <c r="M167" i="1"/>
  <c r="O167" i="1" s="1"/>
  <c r="Q167" i="1" s="1"/>
  <c r="V167" i="1" s="1"/>
  <c r="M168" i="1"/>
  <c r="O168" i="1" s="1"/>
  <c r="Q168" i="1" s="1"/>
  <c r="V168" i="1" s="1"/>
  <c r="M169" i="1"/>
  <c r="O169" i="1" s="1"/>
  <c r="Q169" i="1" s="1"/>
  <c r="V169" i="1" s="1"/>
  <c r="M170" i="1"/>
  <c r="O170" i="1" s="1"/>
  <c r="Q170" i="1" s="1"/>
  <c r="V170" i="1" s="1"/>
  <c r="M171" i="1"/>
  <c r="O171" i="1" s="1"/>
  <c r="Q171" i="1" s="1"/>
  <c r="V171" i="1" s="1"/>
  <c r="M172" i="1"/>
  <c r="O172" i="1" s="1"/>
  <c r="Q172" i="1" s="1"/>
  <c r="V172" i="1" s="1"/>
  <c r="M173" i="1"/>
  <c r="O173" i="1" s="1"/>
  <c r="Q173" i="1" s="1"/>
  <c r="V173" i="1" s="1"/>
  <c r="M174" i="1"/>
  <c r="O174" i="1" s="1"/>
  <c r="Q174" i="1" s="1"/>
  <c r="V174" i="1" s="1"/>
  <c r="M175" i="1"/>
  <c r="O175" i="1" s="1"/>
  <c r="Q175" i="1" s="1"/>
  <c r="V175" i="1" s="1"/>
  <c r="M176" i="1"/>
  <c r="O176" i="1" s="1"/>
  <c r="Q176" i="1" s="1"/>
  <c r="V176" i="1" s="1"/>
  <c r="M177" i="1"/>
  <c r="O177" i="1" s="1"/>
  <c r="Q177" i="1" s="1"/>
  <c r="V177" i="1" s="1"/>
  <c r="M178" i="1"/>
  <c r="O178" i="1" s="1"/>
  <c r="Q178" i="1" s="1"/>
  <c r="V178" i="1" s="1"/>
  <c r="M179" i="1"/>
  <c r="O179" i="1" s="1"/>
  <c r="Q179" i="1" s="1"/>
  <c r="V179" i="1" s="1"/>
  <c r="M180" i="1"/>
  <c r="O180" i="1" s="1"/>
  <c r="Q180" i="1" s="1"/>
  <c r="V180" i="1" s="1"/>
  <c r="M181" i="1"/>
  <c r="O181" i="1" s="1"/>
  <c r="Q181" i="1" s="1"/>
  <c r="V181" i="1" s="1"/>
  <c r="M182" i="1"/>
  <c r="O182" i="1" s="1"/>
  <c r="Q182" i="1" s="1"/>
  <c r="V182" i="1" s="1"/>
  <c r="M183" i="1"/>
  <c r="O183" i="1" s="1"/>
  <c r="Q183" i="1" s="1"/>
  <c r="V183" i="1" s="1"/>
  <c r="M184" i="1"/>
  <c r="O184" i="1" s="1"/>
  <c r="Q184" i="1" s="1"/>
  <c r="V184" i="1" s="1"/>
  <c r="M185" i="1"/>
  <c r="O185" i="1" s="1"/>
  <c r="Q185" i="1" s="1"/>
  <c r="V185" i="1" s="1"/>
  <c r="M186" i="1"/>
  <c r="O186" i="1" s="1"/>
  <c r="Q186" i="1" s="1"/>
  <c r="V186" i="1" s="1"/>
  <c r="M187" i="1"/>
  <c r="O187" i="1" s="1"/>
  <c r="Q187" i="1" s="1"/>
  <c r="V187" i="1" s="1"/>
  <c r="M188" i="1"/>
  <c r="O188" i="1" s="1"/>
  <c r="Q188" i="1" s="1"/>
  <c r="V188" i="1" s="1"/>
  <c r="M189" i="1"/>
  <c r="O189" i="1" s="1"/>
  <c r="Q189" i="1" s="1"/>
  <c r="V189" i="1" s="1"/>
  <c r="M190" i="1"/>
  <c r="O190" i="1" s="1"/>
  <c r="Q190" i="1" s="1"/>
  <c r="V190" i="1" s="1"/>
  <c r="M191" i="1"/>
  <c r="O191" i="1" s="1"/>
  <c r="Q191" i="1" s="1"/>
  <c r="V191" i="1" s="1"/>
  <c r="M192" i="1"/>
  <c r="O192" i="1" s="1"/>
  <c r="Q192" i="1" s="1"/>
  <c r="V192" i="1" s="1"/>
  <c r="M193" i="1"/>
  <c r="O193" i="1" s="1"/>
  <c r="Q193" i="1" s="1"/>
  <c r="V193" i="1" s="1"/>
  <c r="M194" i="1"/>
  <c r="O194" i="1" s="1"/>
  <c r="Q194" i="1" s="1"/>
  <c r="V194" i="1" s="1"/>
  <c r="M195" i="1"/>
  <c r="O195" i="1" s="1"/>
  <c r="Q195" i="1" s="1"/>
  <c r="V195" i="1" s="1"/>
  <c r="M196" i="1"/>
  <c r="O196" i="1" s="1"/>
  <c r="Q196" i="1" s="1"/>
  <c r="V196" i="1" s="1"/>
  <c r="M197" i="1"/>
  <c r="O197" i="1" s="1"/>
  <c r="Q197" i="1" s="1"/>
  <c r="V197" i="1" s="1"/>
  <c r="M198" i="1"/>
  <c r="O198" i="1" s="1"/>
  <c r="Q198" i="1" s="1"/>
  <c r="V198" i="1" s="1"/>
  <c r="M199" i="1"/>
  <c r="O199" i="1" s="1"/>
  <c r="Q199" i="1" s="1"/>
  <c r="V199" i="1" s="1"/>
  <c r="M200" i="1"/>
  <c r="O200" i="1" s="1"/>
  <c r="Q200" i="1" s="1"/>
  <c r="V200" i="1" s="1"/>
  <c r="M201" i="1"/>
  <c r="O201" i="1" s="1"/>
  <c r="Q201" i="1" s="1"/>
  <c r="V201" i="1" s="1"/>
  <c r="M202" i="1"/>
  <c r="O202" i="1" s="1"/>
  <c r="Q202" i="1" s="1"/>
  <c r="V202" i="1" s="1"/>
  <c r="M203" i="1"/>
  <c r="O203" i="1" s="1"/>
  <c r="Q203" i="1" s="1"/>
  <c r="V203" i="1" s="1"/>
  <c r="M204" i="1"/>
  <c r="O204" i="1" s="1"/>
  <c r="Q204" i="1" s="1"/>
  <c r="V204" i="1" s="1"/>
  <c r="M205" i="1"/>
  <c r="O205" i="1" s="1"/>
  <c r="Q205" i="1" s="1"/>
  <c r="V205" i="1" s="1"/>
  <c r="M206" i="1"/>
  <c r="O206" i="1" s="1"/>
  <c r="Q206" i="1" s="1"/>
  <c r="V206" i="1" s="1"/>
  <c r="M207" i="1"/>
  <c r="O207" i="1" s="1"/>
  <c r="Q207" i="1" s="1"/>
  <c r="V207" i="1" s="1"/>
  <c r="M208" i="1"/>
  <c r="O208" i="1" s="1"/>
  <c r="Q208" i="1" s="1"/>
  <c r="V208" i="1" s="1"/>
  <c r="M209" i="1"/>
  <c r="O209" i="1" s="1"/>
  <c r="Q209" i="1" s="1"/>
  <c r="V209" i="1" s="1"/>
  <c r="M210" i="1"/>
  <c r="O210" i="1" s="1"/>
  <c r="Q210" i="1" s="1"/>
  <c r="V210" i="1" s="1"/>
  <c r="M211" i="1"/>
  <c r="O211" i="1" s="1"/>
  <c r="Q211" i="1" s="1"/>
  <c r="V211" i="1" s="1"/>
  <c r="M212" i="1"/>
  <c r="O212" i="1" s="1"/>
  <c r="Q212" i="1" s="1"/>
  <c r="V212" i="1" s="1"/>
  <c r="M213" i="1"/>
  <c r="O213" i="1" s="1"/>
  <c r="Q213" i="1" s="1"/>
  <c r="V213" i="1" s="1"/>
  <c r="M214" i="1"/>
  <c r="O214" i="1" s="1"/>
  <c r="Q214" i="1" s="1"/>
  <c r="V214" i="1" s="1"/>
  <c r="M215" i="1"/>
  <c r="O215" i="1" s="1"/>
  <c r="Q215" i="1" s="1"/>
  <c r="V215" i="1" s="1"/>
  <c r="M216" i="1"/>
  <c r="O216" i="1" s="1"/>
  <c r="Q216" i="1" s="1"/>
  <c r="V216" i="1" s="1"/>
  <c r="M217" i="1"/>
  <c r="O217" i="1" s="1"/>
  <c r="Q217" i="1" s="1"/>
  <c r="V217" i="1" s="1"/>
  <c r="M218" i="1"/>
  <c r="O218" i="1" s="1"/>
  <c r="Q218" i="1" s="1"/>
  <c r="V218" i="1" s="1"/>
  <c r="M219" i="1"/>
  <c r="O219" i="1" s="1"/>
  <c r="Q219" i="1" s="1"/>
  <c r="V219" i="1" s="1"/>
  <c r="M220" i="1"/>
  <c r="O220" i="1" s="1"/>
  <c r="Q220" i="1" s="1"/>
  <c r="V220" i="1" s="1"/>
  <c r="M221" i="1"/>
  <c r="O221" i="1" s="1"/>
  <c r="Q221" i="1" s="1"/>
  <c r="V221" i="1" s="1"/>
  <c r="M222" i="1"/>
  <c r="O222" i="1" s="1"/>
  <c r="Q222" i="1" s="1"/>
  <c r="V222" i="1" s="1"/>
  <c r="M223" i="1"/>
  <c r="O223" i="1" s="1"/>
  <c r="Q223" i="1" s="1"/>
  <c r="V223" i="1" s="1"/>
  <c r="M224" i="1"/>
  <c r="O224" i="1" s="1"/>
  <c r="Q224" i="1" s="1"/>
  <c r="V224" i="1" s="1"/>
  <c r="M225" i="1"/>
  <c r="O225" i="1" s="1"/>
  <c r="Q225" i="1" s="1"/>
  <c r="V225" i="1" s="1"/>
  <c r="M226" i="1"/>
  <c r="O226" i="1" s="1"/>
  <c r="Q226" i="1" s="1"/>
  <c r="V226" i="1" s="1"/>
  <c r="M227" i="1"/>
  <c r="O227" i="1" s="1"/>
  <c r="Q227" i="1" s="1"/>
  <c r="V227" i="1" s="1"/>
  <c r="M228" i="1"/>
  <c r="O228" i="1" s="1"/>
  <c r="Q228" i="1" s="1"/>
  <c r="V228" i="1" s="1"/>
  <c r="M229" i="1"/>
  <c r="O229" i="1" s="1"/>
  <c r="Q229" i="1" s="1"/>
  <c r="V229" i="1" s="1"/>
  <c r="M230" i="1"/>
  <c r="O230" i="1" s="1"/>
  <c r="Q230" i="1" s="1"/>
  <c r="V230" i="1" s="1"/>
  <c r="M231" i="1"/>
  <c r="O231" i="1" s="1"/>
  <c r="Q231" i="1" s="1"/>
  <c r="V231" i="1" s="1"/>
  <c r="M232" i="1"/>
  <c r="O232" i="1" s="1"/>
  <c r="Q232" i="1" s="1"/>
  <c r="V232" i="1" s="1"/>
  <c r="M233" i="1"/>
  <c r="O233" i="1" s="1"/>
  <c r="Q233" i="1" s="1"/>
  <c r="V233" i="1" s="1"/>
  <c r="M234" i="1"/>
  <c r="O234" i="1" s="1"/>
  <c r="Q234" i="1" s="1"/>
  <c r="V234" i="1" s="1"/>
  <c r="M235" i="1"/>
  <c r="O235" i="1" s="1"/>
  <c r="Q235" i="1" s="1"/>
  <c r="V235" i="1" s="1"/>
  <c r="M236" i="1"/>
  <c r="O236" i="1" s="1"/>
  <c r="Q236" i="1" s="1"/>
  <c r="V236" i="1" s="1"/>
  <c r="M237" i="1"/>
  <c r="O237" i="1" s="1"/>
  <c r="Q237" i="1" s="1"/>
  <c r="V237" i="1" s="1"/>
  <c r="M238" i="1"/>
  <c r="O238" i="1" s="1"/>
  <c r="Q238" i="1" s="1"/>
  <c r="V238" i="1" s="1"/>
  <c r="M239" i="1"/>
  <c r="O239" i="1" s="1"/>
  <c r="Q239" i="1" s="1"/>
  <c r="V239" i="1" s="1"/>
  <c r="M240" i="1"/>
  <c r="O240" i="1" s="1"/>
  <c r="Q240" i="1" s="1"/>
  <c r="V240" i="1" s="1"/>
  <c r="M241" i="1"/>
  <c r="O241" i="1" s="1"/>
  <c r="Q241" i="1" s="1"/>
  <c r="V241" i="1" s="1"/>
  <c r="M242" i="1"/>
  <c r="O242" i="1" s="1"/>
  <c r="Q242" i="1" s="1"/>
  <c r="V242" i="1" s="1"/>
  <c r="M243" i="1"/>
  <c r="O243" i="1" s="1"/>
  <c r="Q243" i="1" s="1"/>
  <c r="V243" i="1" s="1"/>
  <c r="M244" i="1"/>
  <c r="O244" i="1" s="1"/>
  <c r="Q244" i="1" s="1"/>
  <c r="V244" i="1" s="1"/>
  <c r="M245" i="1"/>
  <c r="O245" i="1" s="1"/>
  <c r="Q245" i="1" s="1"/>
  <c r="V245" i="1" s="1"/>
  <c r="M246" i="1"/>
  <c r="O246" i="1" s="1"/>
  <c r="Q246" i="1" s="1"/>
  <c r="V246" i="1" s="1"/>
  <c r="M247" i="1"/>
  <c r="O247" i="1" s="1"/>
  <c r="Q247" i="1" s="1"/>
  <c r="V247" i="1" s="1"/>
  <c r="M248" i="1"/>
  <c r="O248" i="1" s="1"/>
  <c r="Q248" i="1" s="1"/>
  <c r="V248" i="1" s="1"/>
  <c r="M249" i="1"/>
  <c r="O249" i="1" s="1"/>
  <c r="Q249" i="1" s="1"/>
  <c r="V249" i="1" s="1"/>
  <c r="M250" i="1"/>
  <c r="O250" i="1" s="1"/>
  <c r="Q250" i="1" s="1"/>
  <c r="V250" i="1" s="1"/>
  <c r="M251" i="1"/>
  <c r="O251" i="1" s="1"/>
  <c r="Q251" i="1" s="1"/>
  <c r="V251" i="1" s="1"/>
  <c r="M252" i="1"/>
  <c r="O252" i="1" s="1"/>
  <c r="Q252" i="1" s="1"/>
  <c r="V252" i="1" s="1"/>
  <c r="M253" i="1"/>
  <c r="O253" i="1" s="1"/>
  <c r="Q253" i="1" s="1"/>
  <c r="V253" i="1" s="1"/>
  <c r="M254" i="1"/>
  <c r="O254" i="1" s="1"/>
  <c r="Q254" i="1" s="1"/>
  <c r="V254" i="1" s="1"/>
  <c r="M255" i="1"/>
  <c r="O255" i="1" s="1"/>
  <c r="Q255" i="1" s="1"/>
  <c r="V255" i="1" s="1"/>
  <c r="M256" i="1"/>
  <c r="O256" i="1" s="1"/>
  <c r="Q256" i="1" s="1"/>
  <c r="V256" i="1" s="1"/>
  <c r="M257" i="1"/>
  <c r="O257" i="1" s="1"/>
  <c r="Q257" i="1" s="1"/>
  <c r="V257" i="1" s="1"/>
  <c r="M258" i="1"/>
  <c r="O258" i="1" s="1"/>
  <c r="Q258" i="1" s="1"/>
  <c r="V258" i="1" s="1"/>
  <c r="M259" i="1"/>
  <c r="O259" i="1" s="1"/>
  <c r="Q259" i="1" s="1"/>
  <c r="V259" i="1" s="1"/>
  <c r="M260" i="1"/>
  <c r="O260" i="1" s="1"/>
  <c r="Q260" i="1" s="1"/>
  <c r="V260" i="1" s="1"/>
  <c r="M261" i="1"/>
  <c r="O261" i="1" s="1"/>
  <c r="Q261" i="1" s="1"/>
  <c r="V261" i="1" s="1"/>
  <c r="M262" i="1"/>
  <c r="O262" i="1" s="1"/>
  <c r="Q262" i="1" s="1"/>
  <c r="V262" i="1" s="1"/>
  <c r="M263" i="1"/>
  <c r="O263" i="1" s="1"/>
  <c r="Q263" i="1" s="1"/>
  <c r="V263" i="1" s="1"/>
  <c r="M264" i="1"/>
  <c r="O264" i="1" s="1"/>
  <c r="Q264" i="1" s="1"/>
  <c r="V264" i="1" s="1"/>
  <c r="M265" i="1"/>
  <c r="O265" i="1" s="1"/>
  <c r="Q265" i="1" s="1"/>
  <c r="V265" i="1" s="1"/>
  <c r="M266" i="1"/>
  <c r="O266" i="1" s="1"/>
  <c r="Q266" i="1" s="1"/>
  <c r="V266" i="1" s="1"/>
  <c r="M267" i="1"/>
  <c r="O267" i="1" s="1"/>
  <c r="Q267" i="1" s="1"/>
  <c r="V267" i="1" s="1"/>
  <c r="M268" i="1"/>
  <c r="O268" i="1" s="1"/>
  <c r="Q268" i="1" s="1"/>
  <c r="V268" i="1" s="1"/>
  <c r="M269" i="1"/>
  <c r="O269" i="1" s="1"/>
  <c r="Q269" i="1" s="1"/>
  <c r="V269" i="1" s="1"/>
  <c r="M270" i="1"/>
  <c r="O270" i="1" s="1"/>
  <c r="Q270" i="1" s="1"/>
  <c r="V270" i="1" s="1"/>
  <c r="M271" i="1"/>
  <c r="O271" i="1" s="1"/>
  <c r="Q271" i="1" s="1"/>
  <c r="V271" i="1" s="1"/>
  <c r="M272" i="1"/>
  <c r="O272" i="1" s="1"/>
  <c r="Q272" i="1" s="1"/>
  <c r="V272" i="1" s="1"/>
  <c r="M273" i="1"/>
  <c r="O273" i="1" s="1"/>
  <c r="Q273" i="1" s="1"/>
  <c r="V273" i="1" s="1"/>
  <c r="M274" i="1"/>
  <c r="O274" i="1" s="1"/>
  <c r="Q274" i="1" s="1"/>
  <c r="V274" i="1" s="1"/>
  <c r="M275" i="1"/>
  <c r="O275" i="1" s="1"/>
  <c r="Q275" i="1" s="1"/>
  <c r="V275" i="1" s="1"/>
  <c r="M276" i="1"/>
  <c r="O276" i="1" s="1"/>
  <c r="Q276" i="1" s="1"/>
  <c r="V276" i="1" s="1"/>
  <c r="M277" i="1"/>
  <c r="O277" i="1" s="1"/>
  <c r="Q277" i="1" s="1"/>
  <c r="V277" i="1" s="1"/>
  <c r="M278" i="1"/>
  <c r="O278" i="1" s="1"/>
  <c r="Q278" i="1" s="1"/>
  <c r="V278" i="1" s="1"/>
  <c r="M279" i="1"/>
  <c r="O279" i="1" s="1"/>
  <c r="Q279" i="1" s="1"/>
  <c r="V279" i="1" s="1"/>
  <c r="M280" i="1"/>
  <c r="O280" i="1" s="1"/>
  <c r="Q280" i="1" s="1"/>
  <c r="V280" i="1" s="1"/>
  <c r="M281" i="1"/>
  <c r="O281" i="1" s="1"/>
  <c r="Q281" i="1" s="1"/>
  <c r="V281" i="1" s="1"/>
  <c r="M282" i="1"/>
  <c r="O282" i="1" s="1"/>
  <c r="Q282" i="1" s="1"/>
  <c r="V282" i="1" s="1"/>
  <c r="M283" i="1"/>
  <c r="O283" i="1" s="1"/>
  <c r="Q283" i="1" s="1"/>
  <c r="V283" i="1" s="1"/>
  <c r="M284" i="1"/>
  <c r="O284" i="1" s="1"/>
  <c r="Q284" i="1" s="1"/>
  <c r="V284" i="1" s="1"/>
  <c r="M285" i="1"/>
  <c r="O285" i="1" s="1"/>
  <c r="Q285" i="1" s="1"/>
  <c r="V285" i="1" s="1"/>
  <c r="M286" i="1"/>
  <c r="O286" i="1" s="1"/>
  <c r="Q286" i="1" s="1"/>
  <c r="V286" i="1" s="1"/>
  <c r="M287" i="1"/>
  <c r="O287" i="1" s="1"/>
  <c r="Q287" i="1" s="1"/>
  <c r="V287" i="1" s="1"/>
  <c r="M288" i="1"/>
  <c r="O288" i="1" s="1"/>
  <c r="Q288" i="1" s="1"/>
  <c r="V288" i="1" s="1"/>
  <c r="M289" i="1"/>
  <c r="O289" i="1" s="1"/>
  <c r="Q289" i="1" s="1"/>
  <c r="V289" i="1" s="1"/>
  <c r="M290" i="1"/>
  <c r="O290" i="1" s="1"/>
  <c r="Q290" i="1" s="1"/>
  <c r="V290" i="1" s="1"/>
  <c r="M291" i="1"/>
  <c r="O291" i="1" s="1"/>
  <c r="Q291" i="1" s="1"/>
  <c r="V291" i="1" s="1"/>
  <c r="M292" i="1"/>
  <c r="O292" i="1" s="1"/>
  <c r="Q292" i="1" s="1"/>
  <c r="V292" i="1" s="1"/>
  <c r="M293" i="1"/>
  <c r="O293" i="1" s="1"/>
  <c r="Q293" i="1" s="1"/>
  <c r="V293" i="1" s="1"/>
  <c r="M294" i="1"/>
  <c r="O294" i="1" s="1"/>
  <c r="Q294" i="1" s="1"/>
  <c r="V294" i="1" s="1"/>
  <c r="M295" i="1"/>
  <c r="O295" i="1" s="1"/>
  <c r="Q295" i="1" s="1"/>
  <c r="V295" i="1" s="1"/>
  <c r="M296" i="1"/>
  <c r="O296" i="1" s="1"/>
  <c r="Q296" i="1" s="1"/>
  <c r="V296" i="1" s="1"/>
  <c r="M297" i="1"/>
  <c r="O297" i="1" s="1"/>
  <c r="Q297" i="1" s="1"/>
  <c r="V297" i="1" s="1"/>
  <c r="M298" i="1"/>
  <c r="O298" i="1" s="1"/>
  <c r="Q298" i="1" s="1"/>
  <c r="V298" i="1" s="1"/>
  <c r="M299" i="1"/>
  <c r="O299" i="1" s="1"/>
  <c r="Q299" i="1" s="1"/>
  <c r="V299" i="1" s="1"/>
  <c r="M300" i="1"/>
  <c r="O300" i="1" s="1"/>
  <c r="Q300" i="1" s="1"/>
  <c r="V300" i="1" s="1"/>
  <c r="M301" i="1"/>
  <c r="O301" i="1" s="1"/>
  <c r="Q301" i="1" s="1"/>
  <c r="V301" i="1" s="1"/>
  <c r="M302" i="1"/>
  <c r="O302" i="1" s="1"/>
  <c r="Q302" i="1" s="1"/>
  <c r="V302" i="1" s="1"/>
  <c r="M303" i="1"/>
  <c r="O303" i="1" s="1"/>
  <c r="Q303" i="1" s="1"/>
  <c r="V303" i="1" s="1"/>
  <c r="M304" i="1"/>
  <c r="O304" i="1" s="1"/>
  <c r="Q304" i="1" s="1"/>
  <c r="V304" i="1" s="1"/>
  <c r="M305" i="1"/>
  <c r="O305" i="1" s="1"/>
  <c r="Q305" i="1" s="1"/>
  <c r="V305" i="1" s="1"/>
  <c r="M306" i="1"/>
  <c r="O306" i="1" s="1"/>
  <c r="Q306" i="1" s="1"/>
  <c r="V306" i="1" s="1"/>
  <c r="M307" i="1"/>
  <c r="O307" i="1" s="1"/>
  <c r="Q307" i="1" s="1"/>
  <c r="V307" i="1" s="1"/>
  <c r="M308" i="1"/>
  <c r="O308" i="1" s="1"/>
  <c r="Q308" i="1" s="1"/>
  <c r="V308" i="1" s="1"/>
  <c r="M309" i="1"/>
  <c r="O309" i="1" s="1"/>
  <c r="Q309" i="1" s="1"/>
  <c r="V309" i="1" s="1"/>
  <c r="M310" i="1"/>
  <c r="O310" i="1" s="1"/>
  <c r="Q310" i="1" s="1"/>
  <c r="V310" i="1" s="1"/>
  <c r="M311" i="1"/>
  <c r="O311" i="1" s="1"/>
  <c r="Q311" i="1" s="1"/>
  <c r="V311" i="1" s="1"/>
  <c r="M312" i="1"/>
  <c r="O312" i="1" s="1"/>
  <c r="Q312" i="1" s="1"/>
  <c r="V312" i="1" s="1"/>
  <c r="M313" i="1"/>
  <c r="O313" i="1" s="1"/>
  <c r="Q313" i="1" s="1"/>
  <c r="V313" i="1" s="1"/>
  <c r="M314" i="1"/>
  <c r="O314" i="1" s="1"/>
  <c r="Q314" i="1" s="1"/>
  <c r="V314" i="1" s="1"/>
  <c r="M315" i="1"/>
  <c r="O315" i="1" s="1"/>
  <c r="Q315" i="1" s="1"/>
  <c r="V315" i="1" s="1"/>
  <c r="M316" i="1"/>
  <c r="O316" i="1" s="1"/>
  <c r="Q316" i="1" s="1"/>
  <c r="V316" i="1" s="1"/>
  <c r="M317" i="1"/>
  <c r="O317" i="1" s="1"/>
  <c r="Q317" i="1" s="1"/>
  <c r="V317" i="1" s="1"/>
  <c r="M318" i="1"/>
  <c r="O318" i="1" s="1"/>
  <c r="Q318" i="1" s="1"/>
  <c r="V318" i="1" s="1"/>
  <c r="M319" i="1"/>
  <c r="O319" i="1" s="1"/>
  <c r="Q319" i="1" s="1"/>
  <c r="V319" i="1" s="1"/>
  <c r="M320" i="1"/>
  <c r="O320" i="1" s="1"/>
  <c r="Q320" i="1" s="1"/>
  <c r="V320" i="1" s="1"/>
  <c r="M321" i="1"/>
  <c r="O321" i="1" s="1"/>
  <c r="Q321" i="1" s="1"/>
  <c r="V321" i="1" s="1"/>
  <c r="M322" i="1"/>
  <c r="O322" i="1" s="1"/>
  <c r="Q322" i="1" s="1"/>
  <c r="V322" i="1" s="1"/>
  <c r="M323" i="1"/>
  <c r="O323" i="1" s="1"/>
  <c r="Q323" i="1" s="1"/>
  <c r="V323" i="1" s="1"/>
  <c r="M324" i="1"/>
  <c r="O324" i="1" s="1"/>
  <c r="Q324" i="1" s="1"/>
  <c r="V324" i="1" s="1"/>
  <c r="M325" i="1"/>
  <c r="O325" i="1" s="1"/>
  <c r="Q325" i="1" s="1"/>
  <c r="V325" i="1" s="1"/>
  <c r="M326" i="1"/>
  <c r="O326" i="1" s="1"/>
  <c r="Q326" i="1" s="1"/>
  <c r="V326" i="1" s="1"/>
  <c r="M327" i="1"/>
  <c r="O327" i="1" s="1"/>
  <c r="Q327" i="1" s="1"/>
  <c r="V327" i="1" s="1"/>
  <c r="M328" i="1"/>
  <c r="O328" i="1" s="1"/>
  <c r="Q328" i="1" s="1"/>
  <c r="V328" i="1" s="1"/>
  <c r="M329" i="1"/>
  <c r="O329" i="1" s="1"/>
  <c r="Q329" i="1" s="1"/>
  <c r="V329" i="1" s="1"/>
  <c r="M330" i="1"/>
  <c r="O330" i="1" s="1"/>
  <c r="Q330" i="1" s="1"/>
  <c r="V330" i="1" s="1"/>
  <c r="M331" i="1"/>
  <c r="O331" i="1" s="1"/>
  <c r="Q331" i="1" s="1"/>
  <c r="V331" i="1" s="1"/>
  <c r="M332" i="1"/>
  <c r="O332" i="1" s="1"/>
  <c r="Q332" i="1" s="1"/>
  <c r="V332" i="1" s="1"/>
  <c r="M333" i="1"/>
  <c r="O333" i="1" s="1"/>
  <c r="Q333" i="1" s="1"/>
  <c r="V333" i="1" s="1"/>
  <c r="M334" i="1"/>
  <c r="O334" i="1" s="1"/>
  <c r="Q334" i="1" s="1"/>
  <c r="V334" i="1" s="1"/>
  <c r="M335" i="1"/>
  <c r="O335" i="1" s="1"/>
  <c r="Q335" i="1" s="1"/>
  <c r="V335" i="1" s="1"/>
  <c r="M336" i="1"/>
  <c r="O336" i="1" s="1"/>
  <c r="Q336" i="1" s="1"/>
  <c r="V336" i="1" s="1"/>
  <c r="M337" i="1"/>
  <c r="O337" i="1" s="1"/>
  <c r="Q337" i="1" s="1"/>
  <c r="V337" i="1" s="1"/>
  <c r="M338" i="1"/>
  <c r="O338" i="1" s="1"/>
  <c r="Q338" i="1" s="1"/>
  <c r="V338" i="1" s="1"/>
  <c r="M339" i="1"/>
  <c r="O339" i="1" s="1"/>
  <c r="Q339" i="1" s="1"/>
  <c r="V339" i="1" s="1"/>
  <c r="M340" i="1"/>
  <c r="O340" i="1" s="1"/>
  <c r="Q340" i="1" s="1"/>
  <c r="V340" i="1" s="1"/>
  <c r="M341" i="1"/>
  <c r="O341" i="1" s="1"/>
  <c r="Q341" i="1" s="1"/>
  <c r="V341" i="1" s="1"/>
  <c r="M342" i="1"/>
  <c r="O342" i="1" s="1"/>
  <c r="Q342" i="1" s="1"/>
  <c r="V342" i="1" s="1"/>
  <c r="M343" i="1"/>
  <c r="O343" i="1" s="1"/>
  <c r="Q343" i="1" s="1"/>
  <c r="V343" i="1" s="1"/>
  <c r="M344" i="1"/>
  <c r="O344" i="1" s="1"/>
  <c r="Q344" i="1" s="1"/>
  <c r="V344" i="1" s="1"/>
  <c r="M345" i="1"/>
  <c r="O345" i="1" s="1"/>
  <c r="Q345" i="1" s="1"/>
  <c r="V345" i="1" s="1"/>
  <c r="M346" i="1"/>
  <c r="O346" i="1" s="1"/>
  <c r="Q346" i="1" s="1"/>
  <c r="V346" i="1" s="1"/>
  <c r="M347" i="1"/>
  <c r="O347" i="1" s="1"/>
  <c r="Q347" i="1" s="1"/>
  <c r="V347" i="1" s="1"/>
  <c r="M348" i="1"/>
  <c r="O348" i="1" s="1"/>
  <c r="Q348" i="1" s="1"/>
  <c r="V348" i="1" s="1"/>
  <c r="M349" i="1"/>
  <c r="O349" i="1" s="1"/>
  <c r="Q349" i="1" s="1"/>
  <c r="V349" i="1" s="1"/>
  <c r="M350" i="1"/>
  <c r="O350" i="1" s="1"/>
  <c r="Q350" i="1" s="1"/>
  <c r="V350" i="1" s="1"/>
  <c r="M351" i="1"/>
  <c r="O351" i="1" s="1"/>
  <c r="Q351" i="1" s="1"/>
  <c r="V351" i="1" s="1"/>
  <c r="M352" i="1"/>
  <c r="O352" i="1" s="1"/>
  <c r="Q352" i="1" s="1"/>
  <c r="V352" i="1" s="1"/>
  <c r="M353" i="1"/>
  <c r="O353" i="1" s="1"/>
  <c r="Q353" i="1" s="1"/>
  <c r="V353" i="1" s="1"/>
  <c r="M354" i="1"/>
  <c r="O354" i="1" s="1"/>
  <c r="Q354" i="1" s="1"/>
  <c r="V354" i="1" s="1"/>
  <c r="M355" i="1"/>
  <c r="O355" i="1" s="1"/>
  <c r="Q355" i="1" s="1"/>
  <c r="V355" i="1" s="1"/>
  <c r="M356" i="1"/>
  <c r="O356" i="1" s="1"/>
  <c r="Q356" i="1" s="1"/>
  <c r="V356" i="1" s="1"/>
  <c r="M357" i="1"/>
  <c r="O357" i="1" s="1"/>
  <c r="Q357" i="1" s="1"/>
  <c r="V357" i="1" s="1"/>
  <c r="M358" i="1"/>
  <c r="O358" i="1" s="1"/>
  <c r="Q358" i="1" s="1"/>
  <c r="V358" i="1" s="1"/>
  <c r="M359" i="1"/>
  <c r="O359" i="1" s="1"/>
  <c r="Q359" i="1" s="1"/>
  <c r="V359" i="1" s="1"/>
  <c r="M360" i="1"/>
  <c r="O360" i="1" s="1"/>
  <c r="Q360" i="1" s="1"/>
  <c r="V360" i="1" s="1"/>
  <c r="M361" i="1"/>
  <c r="O361" i="1" s="1"/>
  <c r="Q361" i="1" s="1"/>
  <c r="V361" i="1" s="1"/>
  <c r="M362" i="1"/>
  <c r="O362" i="1" s="1"/>
  <c r="Q362" i="1" s="1"/>
  <c r="V362" i="1" s="1"/>
  <c r="M363" i="1"/>
  <c r="O363" i="1" s="1"/>
  <c r="Q363" i="1" s="1"/>
  <c r="V363" i="1" s="1"/>
  <c r="M364" i="1"/>
  <c r="O364" i="1" s="1"/>
  <c r="Q364" i="1" s="1"/>
  <c r="V364" i="1" s="1"/>
  <c r="M365" i="1"/>
  <c r="O365" i="1" s="1"/>
  <c r="Q365" i="1" s="1"/>
  <c r="V365" i="1" s="1"/>
  <c r="M366" i="1"/>
  <c r="O366" i="1" s="1"/>
  <c r="Q366" i="1" s="1"/>
  <c r="V366" i="1" s="1"/>
  <c r="M367" i="1"/>
  <c r="O367" i="1" s="1"/>
  <c r="Q367" i="1" s="1"/>
  <c r="V367" i="1" s="1"/>
  <c r="M368" i="1"/>
  <c r="O368" i="1" s="1"/>
  <c r="Q368" i="1" s="1"/>
  <c r="V368" i="1" s="1"/>
  <c r="M369" i="1"/>
  <c r="O369" i="1" s="1"/>
  <c r="Q369" i="1" s="1"/>
  <c r="V369" i="1" s="1"/>
  <c r="M370" i="1"/>
  <c r="O370" i="1" s="1"/>
  <c r="Q370" i="1" s="1"/>
  <c r="V370" i="1" s="1"/>
  <c r="M371" i="1"/>
  <c r="O371" i="1" s="1"/>
  <c r="Q371" i="1" s="1"/>
  <c r="V371" i="1" s="1"/>
  <c r="M372" i="1"/>
  <c r="O372" i="1" s="1"/>
  <c r="Q372" i="1" s="1"/>
  <c r="V372" i="1" s="1"/>
  <c r="M373" i="1"/>
  <c r="O373" i="1" s="1"/>
  <c r="Q373" i="1" s="1"/>
  <c r="V373" i="1" s="1"/>
  <c r="M374" i="1"/>
  <c r="O374" i="1" s="1"/>
  <c r="Q374" i="1" s="1"/>
  <c r="V374" i="1" s="1"/>
  <c r="M375" i="1"/>
  <c r="O375" i="1" s="1"/>
  <c r="Q375" i="1" s="1"/>
  <c r="V375" i="1" s="1"/>
  <c r="M376" i="1"/>
  <c r="O376" i="1" s="1"/>
  <c r="Q376" i="1" s="1"/>
  <c r="V376" i="1" s="1"/>
  <c r="M377" i="1"/>
  <c r="O377" i="1" s="1"/>
  <c r="Q377" i="1" s="1"/>
  <c r="V377" i="1" s="1"/>
  <c r="M378" i="1"/>
  <c r="O378" i="1" s="1"/>
  <c r="Q378" i="1" s="1"/>
  <c r="V378" i="1" s="1"/>
  <c r="M379" i="1"/>
  <c r="O379" i="1" s="1"/>
  <c r="Q379" i="1" s="1"/>
  <c r="V379" i="1" s="1"/>
  <c r="M380" i="1"/>
  <c r="O380" i="1" s="1"/>
  <c r="Q380" i="1" s="1"/>
  <c r="V380" i="1" s="1"/>
  <c r="M381" i="1"/>
  <c r="O381" i="1" s="1"/>
  <c r="Q381" i="1" s="1"/>
  <c r="V381" i="1" s="1"/>
  <c r="M382" i="1"/>
  <c r="O382" i="1" s="1"/>
  <c r="Q382" i="1" s="1"/>
  <c r="V382" i="1" s="1"/>
  <c r="M383" i="1"/>
  <c r="O383" i="1" s="1"/>
  <c r="Q383" i="1" s="1"/>
  <c r="V383" i="1" s="1"/>
  <c r="M384" i="1"/>
  <c r="O384" i="1" s="1"/>
  <c r="Q384" i="1" s="1"/>
  <c r="V384" i="1" s="1"/>
  <c r="M385" i="1"/>
  <c r="O385" i="1" s="1"/>
  <c r="Q385" i="1" s="1"/>
  <c r="V385" i="1" s="1"/>
  <c r="M386" i="1"/>
  <c r="O386" i="1" s="1"/>
  <c r="Q386" i="1" s="1"/>
  <c r="V386" i="1" s="1"/>
  <c r="M387" i="1"/>
  <c r="O387" i="1" s="1"/>
  <c r="Q387" i="1" s="1"/>
  <c r="V387" i="1" s="1"/>
  <c r="M388" i="1"/>
  <c r="O388" i="1" s="1"/>
  <c r="Q388" i="1" s="1"/>
  <c r="V388" i="1" s="1"/>
  <c r="M389" i="1"/>
  <c r="O389" i="1" s="1"/>
  <c r="Q389" i="1" s="1"/>
  <c r="V389" i="1" s="1"/>
  <c r="M390" i="1"/>
  <c r="O390" i="1" s="1"/>
  <c r="Q390" i="1" s="1"/>
  <c r="V390" i="1" s="1"/>
  <c r="M391" i="1"/>
  <c r="O391" i="1" s="1"/>
  <c r="Q391" i="1" s="1"/>
  <c r="V391" i="1" s="1"/>
  <c r="M392" i="1"/>
  <c r="O392" i="1" s="1"/>
  <c r="Q392" i="1" s="1"/>
  <c r="V392" i="1" s="1"/>
  <c r="M393" i="1"/>
  <c r="O393" i="1" s="1"/>
  <c r="Q393" i="1" s="1"/>
  <c r="V393" i="1" s="1"/>
  <c r="M394" i="1"/>
  <c r="O394" i="1" s="1"/>
  <c r="Q394" i="1" s="1"/>
  <c r="V394" i="1" s="1"/>
  <c r="M395" i="1"/>
  <c r="O395" i="1" s="1"/>
  <c r="Q395" i="1" s="1"/>
  <c r="V395" i="1" s="1"/>
  <c r="M396" i="1"/>
  <c r="O396" i="1" s="1"/>
  <c r="Q396" i="1" s="1"/>
  <c r="V396" i="1" s="1"/>
  <c r="M397" i="1"/>
  <c r="O397" i="1" s="1"/>
  <c r="Q397" i="1" s="1"/>
  <c r="V397" i="1" s="1"/>
  <c r="M398" i="1"/>
  <c r="O398" i="1" s="1"/>
  <c r="Q398" i="1" s="1"/>
  <c r="V398" i="1" s="1"/>
  <c r="M399" i="1"/>
  <c r="O399" i="1" s="1"/>
  <c r="Q399" i="1" s="1"/>
  <c r="V399" i="1" s="1"/>
  <c r="M400" i="1"/>
  <c r="O400" i="1" s="1"/>
  <c r="Q400" i="1" s="1"/>
  <c r="V400" i="1" s="1"/>
  <c r="M401" i="1"/>
  <c r="O401" i="1" s="1"/>
  <c r="Q401" i="1" s="1"/>
  <c r="V401" i="1" s="1"/>
  <c r="M402" i="1"/>
  <c r="O402" i="1" s="1"/>
  <c r="Q402" i="1" s="1"/>
  <c r="V402" i="1" s="1"/>
  <c r="M403" i="1"/>
  <c r="O403" i="1" s="1"/>
  <c r="Q403" i="1" s="1"/>
  <c r="V403" i="1" s="1"/>
  <c r="M404" i="1"/>
  <c r="O404" i="1" s="1"/>
  <c r="Q404" i="1" s="1"/>
  <c r="V404" i="1" s="1"/>
  <c r="M405" i="1"/>
  <c r="O405" i="1" s="1"/>
  <c r="Q405" i="1" s="1"/>
  <c r="V405" i="1" s="1"/>
  <c r="M406" i="1"/>
  <c r="O406" i="1" s="1"/>
  <c r="Q406" i="1" s="1"/>
  <c r="V406" i="1" s="1"/>
  <c r="M407" i="1"/>
  <c r="O407" i="1" s="1"/>
  <c r="Q407" i="1" s="1"/>
  <c r="V407" i="1" s="1"/>
  <c r="M408" i="1"/>
  <c r="O408" i="1" s="1"/>
  <c r="Q408" i="1" s="1"/>
  <c r="V408" i="1" s="1"/>
  <c r="M409" i="1"/>
  <c r="O409" i="1" s="1"/>
  <c r="Q409" i="1" s="1"/>
  <c r="V409" i="1" s="1"/>
  <c r="M410" i="1"/>
  <c r="O410" i="1" s="1"/>
  <c r="Q410" i="1" s="1"/>
  <c r="V410" i="1" s="1"/>
  <c r="M411" i="1"/>
  <c r="O411" i="1" s="1"/>
  <c r="Q411" i="1" s="1"/>
  <c r="V411" i="1" s="1"/>
  <c r="M412" i="1"/>
  <c r="O412" i="1" s="1"/>
  <c r="Q412" i="1" s="1"/>
  <c r="V412" i="1" s="1"/>
  <c r="M413" i="1"/>
  <c r="O413" i="1" s="1"/>
  <c r="Q413" i="1" s="1"/>
  <c r="V413" i="1" s="1"/>
  <c r="M414" i="1"/>
  <c r="O414" i="1" s="1"/>
  <c r="Q414" i="1" s="1"/>
  <c r="V414" i="1" s="1"/>
  <c r="M415" i="1"/>
  <c r="O415" i="1" s="1"/>
  <c r="Q415" i="1" s="1"/>
  <c r="V415" i="1" s="1"/>
  <c r="M416" i="1"/>
  <c r="O416" i="1" s="1"/>
  <c r="Q416" i="1" s="1"/>
  <c r="V416" i="1" s="1"/>
  <c r="M417" i="1"/>
  <c r="O417" i="1" s="1"/>
  <c r="Q417" i="1" s="1"/>
  <c r="V417" i="1" s="1"/>
  <c r="M418" i="1"/>
  <c r="O418" i="1" s="1"/>
  <c r="Q418" i="1" s="1"/>
  <c r="V418" i="1" s="1"/>
  <c r="M419" i="1"/>
  <c r="O419" i="1" s="1"/>
  <c r="Q419" i="1" s="1"/>
  <c r="V419" i="1" s="1"/>
  <c r="M420" i="1"/>
  <c r="O420" i="1" s="1"/>
  <c r="Q420" i="1" s="1"/>
  <c r="V420" i="1" s="1"/>
  <c r="M421" i="1"/>
  <c r="O421" i="1" s="1"/>
  <c r="Q421" i="1" s="1"/>
  <c r="V421" i="1" s="1"/>
  <c r="M422" i="1"/>
  <c r="O422" i="1" s="1"/>
  <c r="Q422" i="1" s="1"/>
  <c r="V422" i="1" s="1"/>
  <c r="M423" i="1"/>
  <c r="O423" i="1" s="1"/>
  <c r="Q423" i="1" s="1"/>
  <c r="V423" i="1" s="1"/>
  <c r="M424" i="1"/>
  <c r="O424" i="1" s="1"/>
  <c r="Q424" i="1" s="1"/>
  <c r="V424" i="1" s="1"/>
  <c r="M425" i="1"/>
  <c r="O425" i="1" s="1"/>
  <c r="Q425" i="1" s="1"/>
  <c r="V425" i="1" s="1"/>
  <c r="M426" i="1"/>
  <c r="O426" i="1" s="1"/>
  <c r="Q426" i="1" s="1"/>
  <c r="V426" i="1" s="1"/>
  <c r="M427" i="1"/>
  <c r="O427" i="1" s="1"/>
  <c r="Q427" i="1" s="1"/>
  <c r="V427" i="1" s="1"/>
  <c r="M428" i="1"/>
  <c r="O428" i="1" s="1"/>
  <c r="Q428" i="1" s="1"/>
  <c r="V428" i="1" s="1"/>
  <c r="M429" i="1"/>
  <c r="O429" i="1" s="1"/>
  <c r="Q429" i="1" s="1"/>
  <c r="V429" i="1" s="1"/>
  <c r="M430" i="1"/>
  <c r="O430" i="1" s="1"/>
  <c r="Q430" i="1" s="1"/>
  <c r="V430" i="1" s="1"/>
  <c r="M431" i="1"/>
  <c r="O431" i="1" s="1"/>
  <c r="Q431" i="1" s="1"/>
  <c r="V431" i="1" s="1"/>
  <c r="M432" i="1"/>
  <c r="O432" i="1" s="1"/>
  <c r="Q432" i="1" s="1"/>
  <c r="V432" i="1" s="1"/>
  <c r="M433" i="1"/>
  <c r="O433" i="1" s="1"/>
  <c r="Q433" i="1" s="1"/>
  <c r="V433" i="1" s="1"/>
  <c r="M434" i="1"/>
  <c r="O434" i="1" s="1"/>
  <c r="Q434" i="1" s="1"/>
  <c r="V434" i="1" s="1"/>
  <c r="M435" i="1"/>
  <c r="O435" i="1" s="1"/>
  <c r="Q435" i="1" s="1"/>
  <c r="V435" i="1" s="1"/>
  <c r="M436" i="1"/>
  <c r="O436" i="1" s="1"/>
  <c r="Q436" i="1" s="1"/>
  <c r="V436" i="1" s="1"/>
  <c r="M437" i="1"/>
  <c r="O437" i="1" s="1"/>
  <c r="Q437" i="1" s="1"/>
  <c r="V437" i="1" s="1"/>
  <c r="M438" i="1"/>
  <c r="O438" i="1" s="1"/>
  <c r="Q438" i="1" s="1"/>
  <c r="V438" i="1" s="1"/>
  <c r="M439" i="1"/>
  <c r="O439" i="1" s="1"/>
  <c r="Q439" i="1" s="1"/>
  <c r="V439" i="1" s="1"/>
  <c r="M440" i="1"/>
  <c r="O440" i="1" s="1"/>
  <c r="Q440" i="1" s="1"/>
  <c r="V440" i="1" s="1"/>
  <c r="M441" i="1"/>
  <c r="O441" i="1" s="1"/>
  <c r="Q441" i="1" s="1"/>
  <c r="V441" i="1" s="1"/>
  <c r="M442" i="1"/>
  <c r="O442" i="1" s="1"/>
  <c r="Q442" i="1" s="1"/>
  <c r="V442" i="1" s="1"/>
  <c r="M443" i="1"/>
  <c r="O443" i="1" s="1"/>
  <c r="Q443" i="1" s="1"/>
  <c r="V443" i="1" s="1"/>
  <c r="M444" i="1"/>
  <c r="O444" i="1" s="1"/>
  <c r="Q444" i="1" s="1"/>
  <c r="V444" i="1" s="1"/>
  <c r="M445" i="1"/>
  <c r="O445" i="1" s="1"/>
  <c r="Q445" i="1" s="1"/>
  <c r="V445" i="1" s="1"/>
  <c r="M446" i="1"/>
  <c r="O446" i="1" s="1"/>
  <c r="Q446" i="1" s="1"/>
  <c r="V446" i="1" s="1"/>
  <c r="M447" i="1"/>
  <c r="O447" i="1" s="1"/>
  <c r="Q447" i="1" s="1"/>
  <c r="V447" i="1" s="1"/>
  <c r="M448" i="1"/>
  <c r="O448" i="1" s="1"/>
  <c r="Q448" i="1" s="1"/>
  <c r="V448" i="1" s="1"/>
  <c r="M449" i="1"/>
  <c r="O449" i="1" s="1"/>
  <c r="Q449" i="1" s="1"/>
  <c r="V449" i="1" s="1"/>
  <c r="M450" i="1"/>
  <c r="O450" i="1" s="1"/>
  <c r="Q450" i="1" s="1"/>
  <c r="V450" i="1" s="1"/>
  <c r="M451" i="1"/>
  <c r="O451" i="1" s="1"/>
  <c r="Q451" i="1" s="1"/>
  <c r="V451" i="1" s="1"/>
  <c r="M452" i="1"/>
  <c r="O452" i="1" s="1"/>
  <c r="Q452" i="1" s="1"/>
  <c r="V452" i="1" s="1"/>
  <c r="M453" i="1"/>
  <c r="O453" i="1" s="1"/>
  <c r="Q453" i="1" s="1"/>
  <c r="V453" i="1" s="1"/>
  <c r="M454" i="1"/>
  <c r="O454" i="1" s="1"/>
  <c r="Q454" i="1" s="1"/>
  <c r="V454" i="1" s="1"/>
  <c r="M455" i="1"/>
  <c r="O455" i="1" s="1"/>
  <c r="Q455" i="1" s="1"/>
  <c r="V455" i="1" s="1"/>
  <c r="M456" i="1"/>
  <c r="O456" i="1" s="1"/>
  <c r="Q456" i="1" s="1"/>
  <c r="V456" i="1" s="1"/>
  <c r="M457" i="1"/>
  <c r="O457" i="1" s="1"/>
  <c r="Q457" i="1" s="1"/>
  <c r="V457" i="1" s="1"/>
  <c r="M458" i="1"/>
  <c r="O458" i="1" s="1"/>
  <c r="Q458" i="1" s="1"/>
  <c r="V458" i="1" s="1"/>
  <c r="M459" i="1"/>
  <c r="O459" i="1" s="1"/>
  <c r="Q459" i="1" s="1"/>
  <c r="V459" i="1" s="1"/>
  <c r="M460" i="1"/>
  <c r="O460" i="1" s="1"/>
  <c r="Q460" i="1" s="1"/>
  <c r="V460" i="1" s="1"/>
  <c r="M461" i="1"/>
  <c r="O461" i="1" s="1"/>
  <c r="Q461" i="1" s="1"/>
  <c r="V461" i="1" s="1"/>
  <c r="M462" i="1"/>
  <c r="O462" i="1" s="1"/>
  <c r="Q462" i="1" s="1"/>
  <c r="V462" i="1" s="1"/>
  <c r="M463" i="1"/>
  <c r="O463" i="1" s="1"/>
  <c r="Q463" i="1" s="1"/>
  <c r="V463" i="1" s="1"/>
  <c r="M464" i="1"/>
  <c r="O464" i="1" s="1"/>
  <c r="Q464" i="1" s="1"/>
  <c r="V464" i="1" s="1"/>
  <c r="M465" i="1"/>
  <c r="O465" i="1" s="1"/>
  <c r="Q465" i="1" s="1"/>
  <c r="V465" i="1" s="1"/>
  <c r="M466" i="1"/>
  <c r="O466" i="1" s="1"/>
  <c r="Q466" i="1" s="1"/>
  <c r="V466" i="1" s="1"/>
  <c r="M467" i="1"/>
  <c r="O467" i="1" s="1"/>
  <c r="Q467" i="1" s="1"/>
  <c r="V467" i="1" s="1"/>
  <c r="M468" i="1"/>
  <c r="O468" i="1" s="1"/>
  <c r="Q468" i="1" s="1"/>
  <c r="V468" i="1" s="1"/>
  <c r="M469" i="1"/>
  <c r="O469" i="1" s="1"/>
  <c r="Q469" i="1" s="1"/>
  <c r="V469" i="1" s="1"/>
  <c r="M470" i="1"/>
  <c r="O470" i="1" s="1"/>
  <c r="Q470" i="1" s="1"/>
  <c r="V470" i="1" s="1"/>
  <c r="M471" i="1"/>
  <c r="O471" i="1" s="1"/>
  <c r="Q471" i="1" s="1"/>
  <c r="V471" i="1" s="1"/>
  <c r="M472" i="1"/>
  <c r="O472" i="1" s="1"/>
  <c r="Q472" i="1" s="1"/>
  <c r="V472" i="1" s="1"/>
  <c r="M473" i="1"/>
  <c r="O473" i="1" s="1"/>
  <c r="Q473" i="1" s="1"/>
  <c r="V473" i="1" s="1"/>
  <c r="M474" i="1"/>
  <c r="O474" i="1" s="1"/>
  <c r="Q474" i="1" s="1"/>
  <c r="V474" i="1" s="1"/>
  <c r="M475" i="1"/>
  <c r="O475" i="1" s="1"/>
  <c r="Q475" i="1" s="1"/>
  <c r="V475" i="1" s="1"/>
  <c r="M476" i="1"/>
  <c r="O476" i="1" s="1"/>
  <c r="Q476" i="1" s="1"/>
  <c r="V476" i="1" s="1"/>
  <c r="M477" i="1"/>
  <c r="O477" i="1" s="1"/>
  <c r="Q477" i="1" s="1"/>
  <c r="V477" i="1" s="1"/>
  <c r="M478" i="1"/>
  <c r="O478" i="1" s="1"/>
  <c r="Q478" i="1" s="1"/>
  <c r="V478" i="1" s="1"/>
  <c r="M479" i="1"/>
  <c r="O479" i="1" s="1"/>
  <c r="Q479" i="1" s="1"/>
  <c r="V479" i="1" s="1"/>
  <c r="M480" i="1"/>
  <c r="O480" i="1" s="1"/>
  <c r="Q480" i="1" s="1"/>
  <c r="V480" i="1" s="1"/>
  <c r="M481" i="1"/>
  <c r="O481" i="1" s="1"/>
  <c r="Q481" i="1" s="1"/>
  <c r="V481" i="1" s="1"/>
  <c r="M482" i="1"/>
  <c r="O482" i="1" s="1"/>
  <c r="Q482" i="1" s="1"/>
  <c r="V482" i="1" s="1"/>
  <c r="M483" i="1"/>
  <c r="O483" i="1" s="1"/>
  <c r="Q483" i="1" s="1"/>
  <c r="V483" i="1" s="1"/>
  <c r="M484" i="1"/>
  <c r="O484" i="1" s="1"/>
  <c r="Q484" i="1" s="1"/>
  <c r="V484" i="1" s="1"/>
  <c r="M485" i="1"/>
  <c r="O485" i="1" s="1"/>
  <c r="Q485" i="1" s="1"/>
  <c r="V485" i="1" s="1"/>
  <c r="M486" i="1"/>
  <c r="O486" i="1" s="1"/>
  <c r="Q486" i="1" s="1"/>
  <c r="V486" i="1" s="1"/>
  <c r="M487" i="1"/>
  <c r="O487" i="1" s="1"/>
  <c r="Q487" i="1" s="1"/>
  <c r="V487" i="1" s="1"/>
  <c r="M488" i="1"/>
  <c r="O488" i="1" s="1"/>
  <c r="Q488" i="1" s="1"/>
  <c r="V488" i="1" s="1"/>
  <c r="M489" i="1"/>
  <c r="O489" i="1" s="1"/>
  <c r="Q489" i="1" s="1"/>
  <c r="V489" i="1" s="1"/>
  <c r="M490" i="1"/>
  <c r="O490" i="1" s="1"/>
  <c r="Q490" i="1" s="1"/>
  <c r="V490" i="1" s="1"/>
  <c r="M491" i="1"/>
  <c r="O491" i="1" s="1"/>
  <c r="Q491" i="1" s="1"/>
  <c r="V491" i="1" s="1"/>
  <c r="M492" i="1"/>
  <c r="O492" i="1" s="1"/>
  <c r="Q492" i="1" s="1"/>
  <c r="V492" i="1" s="1"/>
  <c r="M493" i="1"/>
  <c r="O493" i="1" s="1"/>
  <c r="Q493" i="1" s="1"/>
  <c r="V493" i="1" s="1"/>
  <c r="M494" i="1"/>
  <c r="O494" i="1" s="1"/>
  <c r="Q494" i="1" s="1"/>
  <c r="V494" i="1" s="1"/>
  <c r="M495" i="1"/>
  <c r="O495" i="1" s="1"/>
  <c r="Q495" i="1" s="1"/>
  <c r="V495" i="1" s="1"/>
  <c r="M496" i="1"/>
  <c r="O496" i="1" s="1"/>
  <c r="Q496" i="1" s="1"/>
  <c r="V496" i="1" s="1"/>
  <c r="M497" i="1"/>
  <c r="O497" i="1" s="1"/>
  <c r="Q497" i="1" s="1"/>
  <c r="V497" i="1" s="1"/>
  <c r="M498" i="1"/>
  <c r="O498" i="1" s="1"/>
  <c r="Q498" i="1" s="1"/>
  <c r="V498" i="1" s="1"/>
  <c r="M499" i="1"/>
  <c r="O499" i="1" s="1"/>
  <c r="Q499" i="1" s="1"/>
  <c r="V499" i="1" s="1"/>
  <c r="M500" i="1"/>
  <c r="O500" i="1" s="1"/>
  <c r="Q500" i="1" s="1"/>
  <c r="V500" i="1" s="1"/>
  <c r="M501" i="1"/>
  <c r="O501" i="1" s="1"/>
  <c r="Q501" i="1" s="1"/>
  <c r="V501" i="1" s="1"/>
  <c r="M502" i="1"/>
  <c r="O502" i="1" s="1"/>
  <c r="Q502" i="1" s="1"/>
  <c r="V502" i="1" s="1"/>
  <c r="M503" i="1"/>
  <c r="O503" i="1" s="1"/>
  <c r="Q503" i="1" s="1"/>
  <c r="V503" i="1" s="1"/>
  <c r="M504" i="1"/>
  <c r="O504" i="1" s="1"/>
  <c r="Q504" i="1" s="1"/>
  <c r="V504" i="1" s="1"/>
  <c r="M505" i="1"/>
  <c r="O505" i="1" s="1"/>
  <c r="Q505" i="1" s="1"/>
  <c r="V505" i="1" s="1"/>
  <c r="M506" i="1"/>
  <c r="O506" i="1" s="1"/>
  <c r="Q506" i="1" s="1"/>
  <c r="V506" i="1" s="1"/>
  <c r="M507" i="1"/>
  <c r="O507" i="1" s="1"/>
  <c r="Q507" i="1" s="1"/>
  <c r="V507" i="1" s="1"/>
  <c r="M508" i="1"/>
  <c r="O508" i="1" s="1"/>
  <c r="Q508" i="1" s="1"/>
  <c r="V508" i="1" s="1"/>
  <c r="M509" i="1"/>
  <c r="O509" i="1" s="1"/>
  <c r="Q509" i="1" s="1"/>
  <c r="V509" i="1" s="1"/>
  <c r="M510" i="1"/>
  <c r="O510" i="1" s="1"/>
  <c r="Q510" i="1" s="1"/>
  <c r="V510" i="1" s="1"/>
  <c r="M511" i="1"/>
  <c r="O511" i="1" s="1"/>
  <c r="Q511" i="1" s="1"/>
  <c r="V511" i="1" s="1"/>
  <c r="M512" i="1"/>
  <c r="O512" i="1" s="1"/>
  <c r="Q512" i="1" s="1"/>
  <c r="V512" i="1" s="1"/>
  <c r="M513" i="1"/>
  <c r="O513" i="1" s="1"/>
  <c r="Q513" i="1" s="1"/>
  <c r="V513" i="1" s="1"/>
  <c r="M514" i="1"/>
  <c r="O514" i="1" s="1"/>
  <c r="Q514" i="1" s="1"/>
  <c r="V514" i="1" s="1"/>
  <c r="M515" i="1"/>
  <c r="O515" i="1" s="1"/>
  <c r="Q515" i="1" s="1"/>
  <c r="V515" i="1" s="1"/>
  <c r="M516" i="1"/>
  <c r="O516" i="1" s="1"/>
  <c r="Q516" i="1" s="1"/>
  <c r="V516" i="1" s="1"/>
  <c r="M517" i="1"/>
  <c r="O517" i="1" s="1"/>
  <c r="Q517" i="1" s="1"/>
  <c r="V517" i="1" s="1"/>
  <c r="M518" i="1"/>
  <c r="O518" i="1" s="1"/>
  <c r="Q518" i="1" s="1"/>
  <c r="V518" i="1" s="1"/>
  <c r="M519" i="1"/>
  <c r="O519" i="1" s="1"/>
  <c r="Q519" i="1" s="1"/>
  <c r="V519" i="1" s="1"/>
  <c r="M520" i="1"/>
  <c r="O520" i="1" s="1"/>
  <c r="Q520" i="1" s="1"/>
  <c r="V520" i="1" s="1"/>
  <c r="M521" i="1"/>
  <c r="O521" i="1" s="1"/>
  <c r="Q521" i="1" s="1"/>
  <c r="V521" i="1" s="1"/>
  <c r="M522" i="1"/>
  <c r="O522" i="1" s="1"/>
  <c r="Q522" i="1" s="1"/>
  <c r="V522" i="1" s="1"/>
  <c r="M523" i="1"/>
  <c r="O523" i="1" s="1"/>
  <c r="Q523" i="1" s="1"/>
  <c r="V523" i="1" s="1"/>
  <c r="M524" i="1"/>
  <c r="O524" i="1" s="1"/>
  <c r="Q524" i="1" s="1"/>
  <c r="V524" i="1" s="1"/>
  <c r="M525" i="1"/>
  <c r="O525" i="1" s="1"/>
  <c r="Q525" i="1" s="1"/>
  <c r="V525" i="1" s="1"/>
  <c r="M526" i="1"/>
  <c r="O526" i="1" s="1"/>
  <c r="Q526" i="1" s="1"/>
  <c r="V526" i="1" s="1"/>
  <c r="M527" i="1"/>
  <c r="O527" i="1" s="1"/>
  <c r="Q527" i="1" s="1"/>
  <c r="V527" i="1" s="1"/>
  <c r="M528" i="1"/>
  <c r="O528" i="1" s="1"/>
  <c r="Q528" i="1" s="1"/>
  <c r="V528" i="1" s="1"/>
  <c r="M529" i="1"/>
  <c r="O529" i="1" s="1"/>
  <c r="Q529" i="1" s="1"/>
  <c r="V529" i="1" s="1"/>
  <c r="M530" i="1"/>
  <c r="O530" i="1" s="1"/>
  <c r="Q530" i="1" s="1"/>
  <c r="V530" i="1" s="1"/>
  <c r="M531" i="1"/>
  <c r="O531" i="1" s="1"/>
  <c r="Q531" i="1" s="1"/>
  <c r="V531" i="1" s="1"/>
  <c r="M532" i="1"/>
  <c r="O532" i="1" s="1"/>
  <c r="Q532" i="1" s="1"/>
  <c r="V532" i="1" s="1"/>
  <c r="M533" i="1"/>
  <c r="O533" i="1" s="1"/>
  <c r="Q533" i="1" s="1"/>
  <c r="V533" i="1" s="1"/>
  <c r="M534" i="1"/>
  <c r="O534" i="1" s="1"/>
  <c r="Q534" i="1" s="1"/>
  <c r="V534" i="1" s="1"/>
  <c r="M535" i="1"/>
  <c r="O535" i="1" s="1"/>
  <c r="Q535" i="1" s="1"/>
  <c r="V535" i="1" s="1"/>
  <c r="M536" i="1"/>
  <c r="O536" i="1" s="1"/>
  <c r="Q536" i="1" s="1"/>
  <c r="V536" i="1" s="1"/>
  <c r="M537" i="1"/>
  <c r="O537" i="1" s="1"/>
  <c r="Q537" i="1" s="1"/>
  <c r="V537" i="1" s="1"/>
  <c r="M538" i="1"/>
  <c r="O538" i="1" s="1"/>
  <c r="Q538" i="1" s="1"/>
  <c r="V538" i="1" s="1"/>
  <c r="M539" i="1"/>
  <c r="O539" i="1" s="1"/>
  <c r="Q539" i="1" s="1"/>
  <c r="V539" i="1" s="1"/>
  <c r="M540" i="1"/>
  <c r="O540" i="1" s="1"/>
  <c r="Q540" i="1" s="1"/>
  <c r="V540" i="1" s="1"/>
  <c r="M541" i="1"/>
  <c r="O541" i="1" s="1"/>
  <c r="Q541" i="1" s="1"/>
  <c r="V541" i="1" s="1"/>
  <c r="M542" i="1"/>
  <c r="O542" i="1" s="1"/>
  <c r="Q542" i="1" s="1"/>
  <c r="V542" i="1" s="1"/>
  <c r="M543" i="1"/>
  <c r="O543" i="1" s="1"/>
  <c r="Q543" i="1" s="1"/>
  <c r="V543" i="1" s="1"/>
  <c r="M544" i="1"/>
  <c r="O544" i="1" s="1"/>
  <c r="Q544" i="1" s="1"/>
  <c r="V544" i="1" s="1"/>
  <c r="M545" i="1"/>
  <c r="O545" i="1" s="1"/>
  <c r="Q545" i="1" s="1"/>
  <c r="V545" i="1" s="1"/>
  <c r="M546" i="1"/>
  <c r="O546" i="1" s="1"/>
  <c r="Q546" i="1" s="1"/>
  <c r="V546" i="1" s="1"/>
  <c r="M547" i="1"/>
  <c r="O547" i="1" s="1"/>
  <c r="Q547" i="1" s="1"/>
  <c r="V547" i="1" s="1"/>
  <c r="M548" i="1"/>
  <c r="O548" i="1" s="1"/>
  <c r="Q548" i="1" s="1"/>
  <c r="V548" i="1" s="1"/>
  <c r="M549" i="1"/>
  <c r="O549" i="1" s="1"/>
  <c r="Q549" i="1" s="1"/>
  <c r="V549" i="1" s="1"/>
  <c r="M550" i="1"/>
  <c r="O550" i="1" s="1"/>
  <c r="Q550" i="1" s="1"/>
  <c r="V550" i="1" s="1"/>
  <c r="M551" i="1"/>
  <c r="O551" i="1" s="1"/>
  <c r="Q551" i="1" s="1"/>
  <c r="V551" i="1" s="1"/>
  <c r="M552" i="1"/>
  <c r="O552" i="1" s="1"/>
  <c r="Q552" i="1" s="1"/>
  <c r="V552" i="1" s="1"/>
  <c r="M553" i="1"/>
  <c r="O553" i="1" s="1"/>
  <c r="Q553" i="1" s="1"/>
  <c r="V553" i="1" s="1"/>
  <c r="M554" i="1"/>
  <c r="O554" i="1" s="1"/>
  <c r="Q554" i="1" s="1"/>
  <c r="V554" i="1" s="1"/>
  <c r="M555" i="1"/>
  <c r="O555" i="1" s="1"/>
  <c r="Q555" i="1" s="1"/>
  <c r="V555" i="1" s="1"/>
  <c r="M556" i="1"/>
  <c r="O556" i="1" s="1"/>
  <c r="Q556" i="1" s="1"/>
  <c r="V556" i="1" s="1"/>
  <c r="M557" i="1"/>
  <c r="O557" i="1" s="1"/>
  <c r="Q557" i="1" s="1"/>
  <c r="V557" i="1" s="1"/>
  <c r="M558" i="1"/>
  <c r="O558" i="1" s="1"/>
  <c r="Q558" i="1" s="1"/>
  <c r="V558" i="1" s="1"/>
  <c r="M559" i="1"/>
  <c r="O559" i="1" s="1"/>
  <c r="Q559" i="1" s="1"/>
  <c r="V559" i="1" s="1"/>
  <c r="M560" i="1"/>
  <c r="O560" i="1" s="1"/>
  <c r="Q560" i="1" s="1"/>
  <c r="V560" i="1" s="1"/>
  <c r="M561" i="1"/>
  <c r="O561" i="1" s="1"/>
  <c r="Q561" i="1" s="1"/>
  <c r="V561" i="1" s="1"/>
  <c r="M562" i="1"/>
  <c r="O562" i="1" s="1"/>
  <c r="Q562" i="1" s="1"/>
  <c r="V562" i="1" s="1"/>
  <c r="M563" i="1"/>
  <c r="O563" i="1" s="1"/>
  <c r="Q563" i="1" s="1"/>
  <c r="V563" i="1" s="1"/>
  <c r="M564" i="1"/>
  <c r="O564" i="1" s="1"/>
  <c r="Q564" i="1" s="1"/>
  <c r="V564" i="1" s="1"/>
  <c r="M565" i="1"/>
  <c r="O565" i="1" s="1"/>
  <c r="Q565" i="1" s="1"/>
  <c r="V565" i="1" s="1"/>
  <c r="M566" i="1"/>
  <c r="O566" i="1" s="1"/>
  <c r="Q566" i="1" s="1"/>
  <c r="V566" i="1" s="1"/>
  <c r="M567" i="1"/>
  <c r="O567" i="1" s="1"/>
  <c r="Q567" i="1" s="1"/>
  <c r="V567" i="1" s="1"/>
  <c r="M568" i="1"/>
  <c r="O568" i="1" s="1"/>
  <c r="Q568" i="1" s="1"/>
  <c r="V568" i="1" s="1"/>
  <c r="M569" i="1"/>
  <c r="O569" i="1" s="1"/>
  <c r="Q569" i="1" s="1"/>
  <c r="V569" i="1" s="1"/>
  <c r="M570" i="1"/>
  <c r="O570" i="1" s="1"/>
  <c r="Q570" i="1" s="1"/>
  <c r="V570" i="1" s="1"/>
  <c r="M571" i="1"/>
  <c r="O571" i="1" s="1"/>
  <c r="Q571" i="1" s="1"/>
  <c r="V571" i="1" s="1"/>
  <c r="M572" i="1"/>
  <c r="O572" i="1" s="1"/>
  <c r="Q572" i="1" s="1"/>
  <c r="V572" i="1" s="1"/>
  <c r="M573" i="1"/>
  <c r="O573" i="1" s="1"/>
  <c r="Q573" i="1" s="1"/>
  <c r="V573" i="1" s="1"/>
  <c r="M574" i="1"/>
  <c r="O574" i="1" s="1"/>
  <c r="Q574" i="1" s="1"/>
  <c r="V574" i="1" s="1"/>
  <c r="M575" i="1"/>
  <c r="O575" i="1" s="1"/>
  <c r="Q575" i="1" s="1"/>
  <c r="V575" i="1" s="1"/>
  <c r="M576" i="1"/>
  <c r="O576" i="1" s="1"/>
  <c r="Q576" i="1" s="1"/>
  <c r="V576" i="1" s="1"/>
  <c r="M577" i="1"/>
  <c r="O577" i="1" s="1"/>
  <c r="Q577" i="1" s="1"/>
  <c r="V577" i="1" s="1"/>
  <c r="M578" i="1"/>
  <c r="O578" i="1" s="1"/>
  <c r="Q578" i="1" s="1"/>
  <c r="V578" i="1" s="1"/>
  <c r="M579" i="1"/>
  <c r="O579" i="1" s="1"/>
  <c r="Q579" i="1" s="1"/>
  <c r="V579" i="1" s="1"/>
  <c r="M580" i="1"/>
  <c r="O580" i="1" s="1"/>
  <c r="Q580" i="1" s="1"/>
  <c r="V580" i="1" s="1"/>
  <c r="M581" i="1"/>
  <c r="O581" i="1" s="1"/>
  <c r="Q581" i="1" s="1"/>
  <c r="V581" i="1" s="1"/>
  <c r="M582" i="1"/>
  <c r="O582" i="1" s="1"/>
  <c r="Q582" i="1" s="1"/>
  <c r="V582" i="1" s="1"/>
  <c r="M583" i="1"/>
  <c r="O583" i="1" s="1"/>
  <c r="Q583" i="1" s="1"/>
  <c r="V583" i="1" s="1"/>
  <c r="M584" i="1"/>
  <c r="O584" i="1" s="1"/>
  <c r="Q584" i="1" s="1"/>
  <c r="V584" i="1" s="1"/>
  <c r="M585" i="1"/>
  <c r="O585" i="1" s="1"/>
  <c r="Q585" i="1" s="1"/>
  <c r="V585" i="1" s="1"/>
  <c r="M586" i="1"/>
  <c r="O586" i="1" s="1"/>
  <c r="Q586" i="1" s="1"/>
  <c r="V586" i="1" s="1"/>
  <c r="M587" i="1"/>
  <c r="O587" i="1" s="1"/>
  <c r="Q587" i="1" s="1"/>
  <c r="V587" i="1" s="1"/>
  <c r="M588" i="1"/>
  <c r="O588" i="1" s="1"/>
  <c r="Q588" i="1" s="1"/>
  <c r="V588" i="1" s="1"/>
  <c r="M589" i="1"/>
  <c r="O589" i="1" s="1"/>
  <c r="Q589" i="1" s="1"/>
  <c r="V589" i="1" s="1"/>
  <c r="M590" i="1"/>
  <c r="O590" i="1" s="1"/>
  <c r="Q590" i="1" s="1"/>
  <c r="V590" i="1" s="1"/>
  <c r="M591" i="1"/>
  <c r="O591" i="1" s="1"/>
  <c r="Q591" i="1" s="1"/>
  <c r="V591" i="1" s="1"/>
  <c r="M592" i="1"/>
  <c r="O592" i="1" s="1"/>
  <c r="Q592" i="1" s="1"/>
  <c r="V592" i="1" s="1"/>
  <c r="M593" i="1"/>
  <c r="O593" i="1" s="1"/>
  <c r="Q593" i="1" s="1"/>
  <c r="V593" i="1" s="1"/>
  <c r="M594" i="1"/>
  <c r="O594" i="1" s="1"/>
  <c r="Q594" i="1" s="1"/>
  <c r="V594" i="1" s="1"/>
  <c r="M595" i="1"/>
  <c r="O595" i="1" s="1"/>
  <c r="Q595" i="1" s="1"/>
  <c r="V595" i="1" s="1"/>
  <c r="M596" i="1"/>
  <c r="O596" i="1" s="1"/>
  <c r="Q596" i="1" s="1"/>
  <c r="V596" i="1" s="1"/>
  <c r="M597" i="1"/>
  <c r="O597" i="1" s="1"/>
  <c r="Q597" i="1" s="1"/>
  <c r="V597" i="1" s="1"/>
  <c r="M598" i="1"/>
  <c r="O598" i="1" s="1"/>
  <c r="Q598" i="1" s="1"/>
  <c r="V598" i="1" s="1"/>
  <c r="M599" i="1"/>
  <c r="O599" i="1" s="1"/>
  <c r="Q599" i="1" s="1"/>
  <c r="V599" i="1" s="1"/>
  <c r="M600" i="1"/>
  <c r="O600" i="1" s="1"/>
  <c r="Q600" i="1" s="1"/>
  <c r="V600" i="1" s="1"/>
  <c r="M601" i="1"/>
  <c r="O601" i="1" s="1"/>
  <c r="Q601" i="1" s="1"/>
  <c r="V601" i="1" s="1"/>
  <c r="M602" i="1"/>
  <c r="O602" i="1" s="1"/>
  <c r="Q602" i="1" s="1"/>
  <c r="V602" i="1" s="1"/>
  <c r="M603" i="1"/>
  <c r="O603" i="1" s="1"/>
  <c r="Q603" i="1" s="1"/>
  <c r="V603" i="1" s="1"/>
  <c r="M604" i="1"/>
  <c r="O604" i="1" s="1"/>
  <c r="Q604" i="1" s="1"/>
  <c r="V604" i="1" s="1"/>
  <c r="M605" i="1"/>
  <c r="O605" i="1" s="1"/>
  <c r="Q605" i="1" s="1"/>
  <c r="V605" i="1" s="1"/>
  <c r="M606" i="1"/>
  <c r="O606" i="1" s="1"/>
  <c r="Q606" i="1" s="1"/>
  <c r="V606" i="1" s="1"/>
  <c r="M607" i="1"/>
  <c r="O607" i="1" s="1"/>
  <c r="Q607" i="1" s="1"/>
  <c r="V607" i="1" s="1"/>
  <c r="M608" i="1"/>
  <c r="O608" i="1" s="1"/>
  <c r="Q608" i="1" s="1"/>
  <c r="V608" i="1" s="1"/>
  <c r="M609" i="1"/>
  <c r="O609" i="1" s="1"/>
  <c r="Q609" i="1" s="1"/>
  <c r="V609" i="1" s="1"/>
  <c r="M610" i="1"/>
  <c r="O610" i="1" s="1"/>
  <c r="Q610" i="1" s="1"/>
  <c r="V610" i="1" s="1"/>
  <c r="M611" i="1"/>
  <c r="O611" i="1" s="1"/>
  <c r="Q611" i="1" s="1"/>
  <c r="V611" i="1" s="1"/>
  <c r="M612" i="1"/>
  <c r="O612" i="1" s="1"/>
  <c r="Q612" i="1" s="1"/>
  <c r="V612" i="1" s="1"/>
  <c r="M613" i="1"/>
  <c r="O613" i="1" s="1"/>
  <c r="Q613" i="1" s="1"/>
  <c r="V613" i="1" s="1"/>
  <c r="M614" i="1"/>
  <c r="O614" i="1" s="1"/>
  <c r="Q614" i="1" s="1"/>
  <c r="V614" i="1" s="1"/>
  <c r="M615" i="1"/>
  <c r="O615" i="1" s="1"/>
  <c r="Q615" i="1" s="1"/>
  <c r="V615" i="1" s="1"/>
  <c r="M616" i="1"/>
  <c r="O616" i="1" s="1"/>
  <c r="Q616" i="1" s="1"/>
  <c r="V616" i="1" s="1"/>
  <c r="M617" i="1"/>
  <c r="O617" i="1" s="1"/>
  <c r="Q617" i="1" s="1"/>
  <c r="V617" i="1" s="1"/>
  <c r="M618" i="1"/>
  <c r="O618" i="1" s="1"/>
  <c r="Q618" i="1" s="1"/>
  <c r="V618" i="1" s="1"/>
  <c r="M619" i="1"/>
  <c r="O619" i="1" s="1"/>
  <c r="Q619" i="1" s="1"/>
  <c r="V619" i="1" s="1"/>
  <c r="M620" i="1"/>
  <c r="O620" i="1" s="1"/>
  <c r="Q620" i="1" s="1"/>
  <c r="V620" i="1" s="1"/>
  <c r="M621" i="1"/>
  <c r="O621" i="1" s="1"/>
  <c r="Q621" i="1" s="1"/>
  <c r="V621" i="1" s="1"/>
  <c r="M622" i="1"/>
  <c r="O622" i="1" s="1"/>
  <c r="Q622" i="1" s="1"/>
  <c r="V622" i="1" s="1"/>
  <c r="M623" i="1"/>
  <c r="O623" i="1" s="1"/>
  <c r="Q623" i="1" s="1"/>
  <c r="V623" i="1" s="1"/>
  <c r="M624" i="1"/>
  <c r="O624" i="1" s="1"/>
  <c r="Q624" i="1" s="1"/>
  <c r="V624" i="1" s="1"/>
  <c r="M625" i="1"/>
  <c r="O625" i="1" s="1"/>
  <c r="Q625" i="1" s="1"/>
  <c r="V625" i="1" s="1"/>
  <c r="M626" i="1"/>
  <c r="O626" i="1" s="1"/>
  <c r="Q626" i="1" s="1"/>
  <c r="V626" i="1" s="1"/>
  <c r="M627" i="1"/>
  <c r="O627" i="1" s="1"/>
  <c r="Q627" i="1" s="1"/>
  <c r="V627" i="1" s="1"/>
  <c r="M628" i="1"/>
  <c r="O628" i="1" s="1"/>
  <c r="Q628" i="1" s="1"/>
  <c r="V628" i="1" s="1"/>
  <c r="M629" i="1"/>
  <c r="O629" i="1" s="1"/>
  <c r="Q629" i="1" s="1"/>
  <c r="V629" i="1" s="1"/>
  <c r="M630" i="1"/>
  <c r="O630" i="1" s="1"/>
  <c r="Q630" i="1" s="1"/>
  <c r="V630" i="1" s="1"/>
  <c r="M631" i="1"/>
  <c r="O631" i="1" s="1"/>
  <c r="Q631" i="1" s="1"/>
  <c r="V631" i="1" s="1"/>
  <c r="M632" i="1"/>
  <c r="O632" i="1" s="1"/>
  <c r="Q632" i="1" s="1"/>
  <c r="V632" i="1" s="1"/>
  <c r="M633" i="1"/>
  <c r="O633" i="1" s="1"/>
  <c r="Q633" i="1" s="1"/>
  <c r="V633" i="1" s="1"/>
  <c r="M634" i="1"/>
  <c r="O634" i="1" s="1"/>
  <c r="Q634" i="1" s="1"/>
  <c r="V634" i="1" s="1"/>
  <c r="M635" i="1"/>
  <c r="O635" i="1" s="1"/>
  <c r="Q635" i="1" s="1"/>
  <c r="V635" i="1" s="1"/>
  <c r="M636" i="1"/>
  <c r="O636" i="1" s="1"/>
  <c r="Q636" i="1" s="1"/>
  <c r="V636" i="1" s="1"/>
  <c r="M637" i="1"/>
  <c r="O637" i="1" s="1"/>
  <c r="Q637" i="1" s="1"/>
  <c r="V637" i="1" s="1"/>
  <c r="M638" i="1"/>
  <c r="O638" i="1" s="1"/>
  <c r="Q638" i="1" s="1"/>
  <c r="V638" i="1" s="1"/>
  <c r="M639" i="1"/>
  <c r="O639" i="1" s="1"/>
  <c r="Q639" i="1" s="1"/>
  <c r="V639" i="1" s="1"/>
  <c r="M640" i="1"/>
  <c r="O640" i="1" s="1"/>
  <c r="Q640" i="1" s="1"/>
  <c r="V640" i="1" s="1"/>
  <c r="M641" i="1"/>
  <c r="O641" i="1" s="1"/>
  <c r="Q641" i="1" s="1"/>
  <c r="V641" i="1" s="1"/>
  <c r="M642" i="1"/>
  <c r="O642" i="1" s="1"/>
  <c r="Q642" i="1" s="1"/>
  <c r="V642" i="1" s="1"/>
  <c r="M643" i="1"/>
  <c r="O643" i="1" s="1"/>
  <c r="Q643" i="1" s="1"/>
  <c r="V643" i="1" s="1"/>
  <c r="M644" i="1"/>
  <c r="O644" i="1" s="1"/>
  <c r="Q644" i="1" s="1"/>
  <c r="V644" i="1" s="1"/>
  <c r="M645" i="1"/>
  <c r="O645" i="1" s="1"/>
  <c r="Q645" i="1" s="1"/>
  <c r="V645" i="1" s="1"/>
  <c r="M646" i="1"/>
  <c r="O646" i="1" s="1"/>
  <c r="Q646" i="1" s="1"/>
  <c r="V646" i="1" s="1"/>
  <c r="M647" i="1"/>
  <c r="O647" i="1" s="1"/>
  <c r="Q647" i="1" s="1"/>
  <c r="V647" i="1" s="1"/>
  <c r="M648" i="1"/>
  <c r="O648" i="1" s="1"/>
  <c r="Q648" i="1" s="1"/>
  <c r="V648" i="1" s="1"/>
  <c r="M649" i="1"/>
  <c r="O649" i="1" s="1"/>
  <c r="Q649" i="1" s="1"/>
  <c r="V649" i="1" s="1"/>
  <c r="M650" i="1"/>
  <c r="O650" i="1" s="1"/>
  <c r="Q650" i="1" s="1"/>
  <c r="V650" i="1" s="1"/>
  <c r="M651" i="1"/>
  <c r="O651" i="1" s="1"/>
  <c r="Q651" i="1" s="1"/>
  <c r="V651" i="1" s="1"/>
  <c r="M652" i="1"/>
  <c r="O652" i="1" s="1"/>
  <c r="Q652" i="1" s="1"/>
  <c r="V652" i="1" s="1"/>
  <c r="M653" i="1"/>
  <c r="O653" i="1" s="1"/>
  <c r="Q653" i="1" s="1"/>
  <c r="V653" i="1" s="1"/>
  <c r="M654" i="1"/>
  <c r="O654" i="1" s="1"/>
  <c r="Q654" i="1" s="1"/>
  <c r="V654" i="1" s="1"/>
  <c r="M655" i="1"/>
  <c r="O655" i="1" s="1"/>
  <c r="Q655" i="1" s="1"/>
  <c r="V655" i="1" s="1"/>
  <c r="M656" i="1"/>
  <c r="O656" i="1" s="1"/>
  <c r="Q656" i="1" s="1"/>
  <c r="V656" i="1" s="1"/>
  <c r="M657" i="1"/>
  <c r="O657" i="1" s="1"/>
  <c r="Q657" i="1" s="1"/>
  <c r="V657" i="1" s="1"/>
  <c r="M658" i="1"/>
  <c r="O658" i="1" s="1"/>
  <c r="Q658" i="1" s="1"/>
  <c r="V658" i="1" s="1"/>
  <c r="M659" i="1"/>
  <c r="O659" i="1" s="1"/>
  <c r="Q659" i="1" s="1"/>
  <c r="V659" i="1" s="1"/>
  <c r="M660" i="1"/>
  <c r="O660" i="1" s="1"/>
  <c r="Q660" i="1" s="1"/>
  <c r="V660" i="1" s="1"/>
  <c r="M661" i="1"/>
  <c r="O661" i="1" s="1"/>
  <c r="Q661" i="1" s="1"/>
  <c r="V661" i="1" s="1"/>
  <c r="M662" i="1"/>
  <c r="O662" i="1" s="1"/>
  <c r="Q662" i="1" s="1"/>
  <c r="V662" i="1" s="1"/>
  <c r="M663" i="1"/>
  <c r="O663" i="1" s="1"/>
  <c r="Q663" i="1" s="1"/>
  <c r="V663" i="1" s="1"/>
  <c r="M664" i="1"/>
  <c r="O664" i="1" s="1"/>
  <c r="Q664" i="1" s="1"/>
  <c r="V664" i="1" s="1"/>
  <c r="M665" i="1"/>
  <c r="O665" i="1" s="1"/>
  <c r="Q665" i="1" s="1"/>
  <c r="V665" i="1" s="1"/>
  <c r="M666" i="1"/>
  <c r="O666" i="1" s="1"/>
  <c r="Q666" i="1" s="1"/>
  <c r="V666" i="1" s="1"/>
  <c r="M667" i="1"/>
  <c r="O667" i="1" s="1"/>
  <c r="Q667" i="1" s="1"/>
  <c r="V667" i="1" s="1"/>
  <c r="M668" i="1"/>
  <c r="O668" i="1" s="1"/>
  <c r="Q668" i="1" s="1"/>
  <c r="V668" i="1" s="1"/>
  <c r="M669" i="1"/>
  <c r="O669" i="1" s="1"/>
  <c r="Q669" i="1" s="1"/>
  <c r="V669" i="1" s="1"/>
  <c r="M670" i="1"/>
  <c r="O670" i="1" s="1"/>
  <c r="Q670" i="1" s="1"/>
  <c r="V670" i="1" s="1"/>
  <c r="M671" i="1"/>
  <c r="O671" i="1" s="1"/>
  <c r="Q671" i="1" s="1"/>
  <c r="V671" i="1" s="1"/>
  <c r="M672" i="1"/>
  <c r="O672" i="1" s="1"/>
  <c r="Q672" i="1" s="1"/>
  <c r="V672" i="1" s="1"/>
  <c r="M673" i="1"/>
  <c r="O673" i="1" s="1"/>
  <c r="Q673" i="1" s="1"/>
  <c r="V673" i="1" s="1"/>
  <c r="M674" i="1"/>
  <c r="O674" i="1" s="1"/>
  <c r="Q674" i="1" s="1"/>
  <c r="V674" i="1" s="1"/>
  <c r="M675" i="1"/>
  <c r="O675" i="1" s="1"/>
  <c r="Q675" i="1" s="1"/>
  <c r="V675" i="1" s="1"/>
  <c r="M676" i="1"/>
  <c r="O676" i="1" s="1"/>
  <c r="Q676" i="1" s="1"/>
  <c r="V676" i="1" s="1"/>
  <c r="M677" i="1"/>
  <c r="O677" i="1" s="1"/>
  <c r="Q677" i="1" s="1"/>
  <c r="V677" i="1" s="1"/>
  <c r="M678" i="1"/>
  <c r="O678" i="1" s="1"/>
  <c r="Q678" i="1" s="1"/>
  <c r="V678" i="1" s="1"/>
  <c r="M679" i="1"/>
  <c r="O679" i="1" s="1"/>
  <c r="Q679" i="1" s="1"/>
  <c r="V679" i="1" s="1"/>
  <c r="M680" i="1"/>
  <c r="O680" i="1" s="1"/>
  <c r="Q680" i="1" s="1"/>
  <c r="V680" i="1" s="1"/>
  <c r="M681" i="1"/>
  <c r="O681" i="1" s="1"/>
  <c r="Q681" i="1" s="1"/>
  <c r="V681" i="1" s="1"/>
  <c r="M682" i="1"/>
  <c r="O682" i="1" s="1"/>
  <c r="Q682" i="1" s="1"/>
  <c r="V682" i="1" s="1"/>
  <c r="M683" i="1"/>
  <c r="O683" i="1" s="1"/>
  <c r="Q683" i="1" s="1"/>
  <c r="V683" i="1" s="1"/>
  <c r="M684" i="1"/>
  <c r="O684" i="1" s="1"/>
  <c r="Q684" i="1" s="1"/>
  <c r="V684" i="1" s="1"/>
  <c r="M685" i="1"/>
  <c r="O685" i="1" s="1"/>
  <c r="Q685" i="1" s="1"/>
  <c r="V685" i="1" s="1"/>
  <c r="M686" i="1"/>
  <c r="O686" i="1" s="1"/>
  <c r="Q686" i="1" s="1"/>
  <c r="V686" i="1" s="1"/>
  <c r="M687" i="1"/>
  <c r="O687" i="1" s="1"/>
  <c r="Q687" i="1" s="1"/>
  <c r="V687" i="1" s="1"/>
  <c r="M688" i="1"/>
  <c r="O688" i="1" s="1"/>
  <c r="Q688" i="1" s="1"/>
  <c r="V688" i="1" s="1"/>
  <c r="M689" i="1"/>
  <c r="O689" i="1" s="1"/>
  <c r="Q689" i="1" s="1"/>
  <c r="V689" i="1" s="1"/>
  <c r="M690" i="1"/>
  <c r="O690" i="1" s="1"/>
  <c r="Q690" i="1" s="1"/>
  <c r="V690" i="1" s="1"/>
  <c r="M691" i="1"/>
  <c r="O691" i="1" s="1"/>
  <c r="Q691" i="1" s="1"/>
  <c r="V691" i="1" s="1"/>
  <c r="M692" i="1"/>
  <c r="O692" i="1" s="1"/>
  <c r="Q692" i="1" s="1"/>
  <c r="V692" i="1" s="1"/>
  <c r="M693" i="1"/>
  <c r="O693" i="1" s="1"/>
  <c r="Q693" i="1" s="1"/>
  <c r="V693" i="1" s="1"/>
  <c r="M694" i="1"/>
  <c r="O694" i="1" s="1"/>
  <c r="Q694" i="1" s="1"/>
  <c r="V694" i="1" s="1"/>
  <c r="M695" i="1"/>
  <c r="O695" i="1" s="1"/>
  <c r="Q695" i="1" s="1"/>
  <c r="V695" i="1" s="1"/>
  <c r="M696" i="1"/>
  <c r="O696" i="1" s="1"/>
  <c r="Q696" i="1" s="1"/>
  <c r="V696" i="1" s="1"/>
  <c r="M697" i="1"/>
  <c r="O697" i="1" s="1"/>
  <c r="Q697" i="1" s="1"/>
  <c r="V697" i="1" s="1"/>
  <c r="M698" i="1"/>
  <c r="O698" i="1" s="1"/>
  <c r="Q698" i="1" s="1"/>
  <c r="V698" i="1" s="1"/>
  <c r="M699" i="1"/>
  <c r="O699" i="1" s="1"/>
  <c r="Q699" i="1" s="1"/>
  <c r="V699" i="1" s="1"/>
  <c r="M700" i="1"/>
  <c r="O700" i="1" s="1"/>
  <c r="Q700" i="1" s="1"/>
  <c r="V700" i="1" s="1"/>
  <c r="M701" i="1"/>
  <c r="O701" i="1" s="1"/>
  <c r="Q701" i="1" s="1"/>
  <c r="V701" i="1" s="1"/>
  <c r="M702" i="1"/>
  <c r="O702" i="1" s="1"/>
  <c r="Q702" i="1" s="1"/>
  <c r="V702" i="1" s="1"/>
  <c r="M703" i="1"/>
  <c r="O703" i="1" s="1"/>
  <c r="Q703" i="1" s="1"/>
  <c r="V703" i="1" s="1"/>
  <c r="M704" i="1"/>
  <c r="O704" i="1" s="1"/>
  <c r="Q704" i="1" s="1"/>
  <c r="V704" i="1" s="1"/>
  <c r="M705" i="1"/>
  <c r="O705" i="1" s="1"/>
  <c r="Q705" i="1" s="1"/>
  <c r="V705" i="1" s="1"/>
  <c r="M706" i="1"/>
  <c r="O706" i="1" s="1"/>
  <c r="Q706" i="1" s="1"/>
  <c r="V706" i="1" s="1"/>
  <c r="M707" i="1"/>
  <c r="O707" i="1" s="1"/>
  <c r="Q707" i="1" s="1"/>
  <c r="V707" i="1" s="1"/>
  <c r="M708" i="1"/>
  <c r="O708" i="1" s="1"/>
  <c r="Q708" i="1" s="1"/>
  <c r="V708" i="1" s="1"/>
  <c r="M709" i="1"/>
  <c r="O709" i="1" s="1"/>
  <c r="Q709" i="1" s="1"/>
  <c r="V709" i="1" s="1"/>
  <c r="M710" i="1"/>
  <c r="O710" i="1" s="1"/>
  <c r="Q710" i="1" s="1"/>
  <c r="V710" i="1" s="1"/>
  <c r="M711" i="1"/>
  <c r="O711" i="1" s="1"/>
  <c r="Q711" i="1" s="1"/>
  <c r="V711" i="1" s="1"/>
  <c r="M712" i="1"/>
  <c r="O712" i="1" s="1"/>
  <c r="Q712" i="1" s="1"/>
  <c r="V712" i="1" s="1"/>
  <c r="M713" i="1"/>
  <c r="O713" i="1" s="1"/>
  <c r="Q713" i="1" s="1"/>
  <c r="V713" i="1" s="1"/>
  <c r="M714" i="1"/>
  <c r="O714" i="1" s="1"/>
  <c r="Q714" i="1" s="1"/>
  <c r="V714" i="1" s="1"/>
  <c r="M715" i="1"/>
  <c r="O715" i="1" s="1"/>
  <c r="Q715" i="1" s="1"/>
  <c r="V715" i="1" s="1"/>
  <c r="M716" i="1"/>
  <c r="O716" i="1" s="1"/>
  <c r="Q716" i="1" s="1"/>
  <c r="V716" i="1" s="1"/>
  <c r="M717" i="1"/>
  <c r="O717" i="1" s="1"/>
  <c r="Q717" i="1" s="1"/>
  <c r="V717" i="1" s="1"/>
  <c r="M718" i="1"/>
  <c r="O718" i="1" s="1"/>
  <c r="Q718" i="1" s="1"/>
  <c r="V718" i="1" s="1"/>
  <c r="M719" i="1"/>
  <c r="O719" i="1" s="1"/>
  <c r="Q719" i="1" s="1"/>
  <c r="V719" i="1" s="1"/>
  <c r="M720" i="1"/>
  <c r="O720" i="1" s="1"/>
  <c r="Q720" i="1" s="1"/>
  <c r="V720" i="1" s="1"/>
  <c r="M721" i="1"/>
  <c r="O721" i="1" s="1"/>
  <c r="Q721" i="1" s="1"/>
  <c r="V721" i="1" s="1"/>
  <c r="M722" i="1"/>
  <c r="O722" i="1" s="1"/>
  <c r="Q722" i="1" s="1"/>
  <c r="V722" i="1" s="1"/>
  <c r="M723" i="1"/>
  <c r="O723" i="1" s="1"/>
  <c r="Q723" i="1" s="1"/>
  <c r="V723" i="1" s="1"/>
  <c r="M724" i="1"/>
  <c r="O724" i="1" s="1"/>
  <c r="Q724" i="1" s="1"/>
  <c r="V724" i="1" s="1"/>
  <c r="M725" i="1"/>
  <c r="O725" i="1" s="1"/>
  <c r="Q725" i="1" s="1"/>
  <c r="V725" i="1" s="1"/>
  <c r="M726" i="1"/>
  <c r="O726" i="1" s="1"/>
  <c r="Q726" i="1" s="1"/>
  <c r="V726" i="1" s="1"/>
  <c r="M727" i="1"/>
  <c r="O727" i="1" s="1"/>
  <c r="Q727" i="1" s="1"/>
  <c r="V727" i="1" s="1"/>
  <c r="M728" i="1"/>
  <c r="O728" i="1" s="1"/>
  <c r="Q728" i="1" s="1"/>
  <c r="V728" i="1" s="1"/>
  <c r="M729" i="1"/>
  <c r="O729" i="1" s="1"/>
  <c r="Q729" i="1" s="1"/>
  <c r="V729" i="1" s="1"/>
  <c r="M730" i="1"/>
  <c r="O730" i="1" s="1"/>
  <c r="Q730" i="1" s="1"/>
  <c r="V730" i="1" s="1"/>
  <c r="M731" i="1"/>
  <c r="O731" i="1" s="1"/>
  <c r="Q731" i="1" s="1"/>
  <c r="V731" i="1" s="1"/>
  <c r="M732" i="1"/>
  <c r="O732" i="1" s="1"/>
  <c r="Q732" i="1" s="1"/>
  <c r="V732" i="1" s="1"/>
  <c r="M733" i="1"/>
  <c r="O733" i="1" s="1"/>
  <c r="Q733" i="1" s="1"/>
  <c r="V733" i="1" s="1"/>
  <c r="M734" i="1"/>
  <c r="O734" i="1" s="1"/>
  <c r="Q734" i="1" s="1"/>
  <c r="V734" i="1" s="1"/>
  <c r="M735" i="1"/>
  <c r="O735" i="1" s="1"/>
  <c r="Q735" i="1" s="1"/>
  <c r="V735" i="1" s="1"/>
  <c r="M736" i="1"/>
  <c r="O736" i="1" s="1"/>
  <c r="Q736" i="1" s="1"/>
  <c r="V736" i="1" s="1"/>
  <c r="M737" i="1"/>
  <c r="O737" i="1" s="1"/>
  <c r="Q737" i="1" s="1"/>
  <c r="V737" i="1" s="1"/>
  <c r="M738" i="1"/>
  <c r="O738" i="1" s="1"/>
  <c r="Q738" i="1" s="1"/>
  <c r="V738" i="1" s="1"/>
  <c r="M739" i="1"/>
  <c r="O739" i="1" s="1"/>
  <c r="Q739" i="1" s="1"/>
  <c r="V739" i="1" s="1"/>
  <c r="M740" i="1"/>
  <c r="O740" i="1" s="1"/>
  <c r="Q740" i="1" s="1"/>
  <c r="V740" i="1" s="1"/>
  <c r="M741" i="1"/>
  <c r="O741" i="1" s="1"/>
  <c r="Q741" i="1" s="1"/>
  <c r="V741" i="1" s="1"/>
  <c r="M742" i="1"/>
  <c r="O742" i="1" s="1"/>
  <c r="Q742" i="1" s="1"/>
  <c r="V742" i="1" s="1"/>
  <c r="M743" i="1"/>
  <c r="O743" i="1" s="1"/>
  <c r="Q743" i="1" s="1"/>
  <c r="V743" i="1" s="1"/>
  <c r="M744" i="1"/>
  <c r="O744" i="1" s="1"/>
  <c r="Q744" i="1" s="1"/>
  <c r="V744" i="1" s="1"/>
  <c r="M745" i="1"/>
  <c r="O745" i="1" s="1"/>
  <c r="Q745" i="1" s="1"/>
  <c r="V745" i="1" s="1"/>
  <c r="M746" i="1"/>
  <c r="O746" i="1" s="1"/>
  <c r="Q746" i="1" s="1"/>
  <c r="V746" i="1" s="1"/>
  <c r="M747" i="1"/>
  <c r="O747" i="1" s="1"/>
  <c r="Q747" i="1" s="1"/>
  <c r="V747" i="1" s="1"/>
  <c r="M748" i="1"/>
  <c r="O748" i="1" s="1"/>
  <c r="Q748" i="1" s="1"/>
  <c r="V748" i="1" s="1"/>
  <c r="M749" i="1"/>
  <c r="O749" i="1" s="1"/>
  <c r="Q749" i="1" s="1"/>
  <c r="V749" i="1" s="1"/>
  <c r="M750" i="1"/>
  <c r="O750" i="1" s="1"/>
  <c r="Q750" i="1" s="1"/>
  <c r="V750" i="1" s="1"/>
  <c r="M751" i="1"/>
  <c r="O751" i="1" s="1"/>
  <c r="Q751" i="1" s="1"/>
  <c r="V751" i="1" s="1"/>
  <c r="M752" i="1"/>
  <c r="O752" i="1" s="1"/>
  <c r="Q752" i="1" s="1"/>
  <c r="V752" i="1" s="1"/>
  <c r="M753" i="1"/>
  <c r="O753" i="1" s="1"/>
  <c r="Q753" i="1" s="1"/>
  <c r="V753" i="1" s="1"/>
  <c r="M754" i="1"/>
  <c r="O754" i="1" s="1"/>
  <c r="Q754" i="1" s="1"/>
  <c r="V754" i="1" s="1"/>
  <c r="M755" i="1"/>
  <c r="O755" i="1" s="1"/>
  <c r="Q755" i="1" s="1"/>
  <c r="V755" i="1" s="1"/>
  <c r="M756" i="1"/>
  <c r="O756" i="1" s="1"/>
  <c r="Q756" i="1" s="1"/>
  <c r="V756" i="1" s="1"/>
  <c r="M757" i="1"/>
  <c r="O757" i="1" s="1"/>
  <c r="Q757" i="1" s="1"/>
  <c r="V757" i="1" s="1"/>
  <c r="M758" i="1"/>
  <c r="O758" i="1" s="1"/>
  <c r="Q758" i="1" s="1"/>
  <c r="V758" i="1" s="1"/>
  <c r="M759" i="1"/>
  <c r="O759" i="1" s="1"/>
  <c r="Q759" i="1" s="1"/>
  <c r="V759" i="1" s="1"/>
  <c r="M760" i="1"/>
  <c r="O760" i="1" s="1"/>
  <c r="Q760" i="1" s="1"/>
  <c r="V760" i="1" s="1"/>
  <c r="M761" i="1"/>
  <c r="O761" i="1" s="1"/>
  <c r="Q761" i="1" s="1"/>
  <c r="V761" i="1" s="1"/>
  <c r="M762" i="1"/>
  <c r="O762" i="1" s="1"/>
  <c r="Q762" i="1" s="1"/>
  <c r="V762" i="1" s="1"/>
  <c r="M763" i="1"/>
  <c r="O763" i="1" s="1"/>
  <c r="Q763" i="1" s="1"/>
  <c r="V763" i="1" s="1"/>
  <c r="M764" i="1"/>
  <c r="O764" i="1" s="1"/>
  <c r="Q764" i="1" s="1"/>
  <c r="V764" i="1" s="1"/>
  <c r="M765" i="1"/>
  <c r="O765" i="1" s="1"/>
  <c r="Q765" i="1" s="1"/>
  <c r="V765" i="1" s="1"/>
  <c r="M766" i="1"/>
  <c r="O766" i="1" s="1"/>
  <c r="Q766" i="1" s="1"/>
  <c r="V766" i="1" s="1"/>
  <c r="M767" i="1"/>
  <c r="O767" i="1" s="1"/>
  <c r="Q767" i="1" s="1"/>
  <c r="V767" i="1" s="1"/>
  <c r="M768" i="1"/>
  <c r="O768" i="1" s="1"/>
  <c r="Q768" i="1" s="1"/>
  <c r="V768" i="1" s="1"/>
  <c r="M769" i="1"/>
  <c r="O769" i="1" s="1"/>
  <c r="Q769" i="1" s="1"/>
  <c r="V769" i="1" s="1"/>
  <c r="M770" i="1"/>
  <c r="O770" i="1" s="1"/>
  <c r="Q770" i="1" s="1"/>
  <c r="V770" i="1" s="1"/>
  <c r="M771" i="1"/>
  <c r="O771" i="1" s="1"/>
  <c r="Q771" i="1" s="1"/>
  <c r="V771" i="1" s="1"/>
  <c r="M772" i="1"/>
  <c r="O772" i="1" s="1"/>
  <c r="Q772" i="1" s="1"/>
  <c r="V772" i="1" s="1"/>
  <c r="M773" i="1"/>
  <c r="O773" i="1" s="1"/>
  <c r="Q773" i="1" s="1"/>
  <c r="V773" i="1" s="1"/>
  <c r="M774" i="1"/>
  <c r="O774" i="1" s="1"/>
  <c r="Q774" i="1" s="1"/>
  <c r="V774" i="1" s="1"/>
  <c r="M775" i="1"/>
  <c r="O775" i="1" s="1"/>
  <c r="Q775" i="1" s="1"/>
  <c r="V775" i="1" s="1"/>
  <c r="M776" i="1"/>
  <c r="O776" i="1" s="1"/>
  <c r="Q776" i="1" s="1"/>
  <c r="V776" i="1" s="1"/>
  <c r="M777" i="1"/>
  <c r="O777" i="1" s="1"/>
  <c r="Q777" i="1" s="1"/>
  <c r="V777" i="1" s="1"/>
  <c r="M778" i="1"/>
  <c r="O778" i="1" s="1"/>
  <c r="Q778" i="1" s="1"/>
  <c r="V778" i="1" s="1"/>
  <c r="M779" i="1"/>
  <c r="O779" i="1" s="1"/>
  <c r="Q779" i="1" s="1"/>
  <c r="V779" i="1" s="1"/>
  <c r="M780" i="1"/>
  <c r="O780" i="1" s="1"/>
  <c r="Q780" i="1" s="1"/>
  <c r="V780" i="1" s="1"/>
  <c r="M781" i="1"/>
  <c r="O781" i="1" s="1"/>
  <c r="Q781" i="1" s="1"/>
  <c r="V781" i="1" s="1"/>
  <c r="M782" i="1"/>
  <c r="O782" i="1" s="1"/>
  <c r="Q782" i="1" s="1"/>
  <c r="V782" i="1" s="1"/>
  <c r="M783" i="1"/>
  <c r="O783" i="1" s="1"/>
  <c r="Q783" i="1" s="1"/>
  <c r="V783" i="1" s="1"/>
  <c r="M784" i="1"/>
  <c r="O784" i="1" s="1"/>
  <c r="Q784" i="1" s="1"/>
  <c r="V784" i="1" s="1"/>
  <c r="M785" i="1"/>
  <c r="O785" i="1" s="1"/>
  <c r="Q785" i="1" s="1"/>
  <c r="V785" i="1" s="1"/>
  <c r="M786" i="1"/>
  <c r="O786" i="1" s="1"/>
  <c r="Q786" i="1" s="1"/>
  <c r="V786" i="1" s="1"/>
  <c r="M787" i="1"/>
  <c r="O787" i="1" s="1"/>
  <c r="Q787" i="1" s="1"/>
  <c r="V787" i="1" s="1"/>
  <c r="M788" i="1"/>
  <c r="O788" i="1" s="1"/>
  <c r="Q788" i="1" s="1"/>
  <c r="V788" i="1" s="1"/>
  <c r="M789" i="1"/>
  <c r="O789" i="1" s="1"/>
  <c r="Q789" i="1" s="1"/>
  <c r="V789" i="1" s="1"/>
  <c r="M790" i="1"/>
  <c r="O790" i="1" s="1"/>
  <c r="Q790" i="1" s="1"/>
  <c r="V790" i="1" s="1"/>
  <c r="M791" i="1"/>
  <c r="O791" i="1" s="1"/>
  <c r="Q791" i="1" s="1"/>
  <c r="V791" i="1" s="1"/>
  <c r="M792" i="1"/>
  <c r="O792" i="1" s="1"/>
  <c r="Q792" i="1" s="1"/>
  <c r="V792" i="1" s="1"/>
  <c r="M793" i="1"/>
  <c r="O793" i="1" s="1"/>
  <c r="Q793" i="1" s="1"/>
  <c r="V793" i="1" s="1"/>
  <c r="M794" i="1"/>
  <c r="O794" i="1" s="1"/>
  <c r="Q794" i="1" s="1"/>
  <c r="V794" i="1" s="1"/>
  <c r="M795" i="1"/>
  <c r="O795" i="1" s="1"/>
  <c r="Q795" i="1" s="1"/>
  <c r="V795" i="1" s="1"/>
  <c r="M796" i="1"/>
  <c r="O796" i="1" s="1"/>
  <c r="Q796" i="1" s="1"/>
  <c r="V796" i="1" s="1"/>
  <c r="M797" i="1"/>
  <c r="O797" i="1" s="1"/>
  <c r="Q797" i="1" s="1"/>
  <c r="V797" i="1" s="1"/>
  <c r="M798" i="1"/>
  <c r="O798" i="1" s="1"/>
  <c r="Q798" i="1" s="1"/>
  <c r="V798" i="1" s="1"/>
  <c r="M799" i="1"/>
  <c r="O799" i="1" s="1"/>
  <c r="Q799" i="1" s="1"/>
  <c r="V799" i="1" s="1"/>
  <c r="M800" i="1"/>
  <c r="O800" i="1" s="1"/>
  <c r="Q800" i="1" s="1"/>
  <c r="V800" i="1" s="1"/>
  <c r="M801" i="1"/>
  <c r="O801" i="1" s="1"/>
  <c r="Q801" i="1" s="1"/>
  <c r="V801" i="1" s="1"/>
  <c r="M802" i="1"/>
  <c r="O802" i="1" s="1"/>
  <c r="Q802" i="1" s="1"/>
  <c r="V802" i="1" s="1"/>
  <c r="M803" i="1"/>
  <c r="O803" i="1" s="1"/>
  <c r="Q803" i="1" s="1"/>
  <c r="V803" i="1" s="1"/>
  <c r="M5" i="1"/>
  <c r="O5" i="1" s="1"/>
  <c r="Q5" i="1" s="1"/>
  <c r="V5" i="1" s="1"/>
  <c r="M4" i="1"/>
  <c r="O4" i="1" s="1"/>
  <c r="Q4" i="1" s="1"/>
  <c r="V4" i="1" s="1"/>
</calcChain>
</file>

<file path=xl/sharedStrings.xml><?xml version="1.0" encoding="utf-8"?>
<sst xmlns="http://schemas.openxmlformats.org/spreadsheetml/2006/main" count="8024" uniqueCount="412">
  <si>
    <t>Date</t>
  </si>
  <si>
    <t>State</t>
  </si>
  <si>
    <t>Region</t>
  </si>
  <si>
    <t>Product Category</t>
  </si>
  <si>
    <t>Product Sub-Category</t>
  </si>
  <si>
    <t>Channel</t>
  </si>
  <si>
    <t>Payment Mode</t>
  </si>
  <si>
    <t>Gender</t>
  </si>
  <si>
    <t>Quantity</t>
  </si>
  <si>
    <t>Rate</t>
  </si>
  <si>
    <t>Cost of Goods</t>
  </si>
  <si>
    <t>Profit</t>
  </si>
  <si>
    <t>Customer Rating</t>
  </si>
  <si>
    <t>04-Aug-2023</t>
  </si>
  <si>
    <t>Sterling Financial Services</t>
  </si>
  <si>
    <t>Madhya Pradesh</t>
  </si>
  <si>
    <t>Central</t>
  </si>
  <si>
    <t>Office Supplies</t>
  </si>
  <si>
    <t>Printers</t>
  </si>
  <si>
    <t>Cheque</t>
  </si>
  <si>
    <t>24-Mar-2024</t>
  </si>
  <si>
    <t>Horizon Technologies Pvt Ltd</t>
  </si>
  <si>
    <t>Tamil Nadu</t>
  </si>
  <si>
    <t>South</t>
  </si>
  <si>
    <t>Electronics</t>
  </si>
  <si>
    <t>Tablets</t>
  </si>
  <si>
    <t>Male</t>
  </si>
  <si>
    <t>03-May-2023</t>
  </si>
  <si>
    <t>Pioneer Pharma Ltd</t>
  </si>
  <si>
    <t>FMCG</t>
  </si>
  <si>
    <t>Home Care</t>
  </si>
  <si>
    <t>14-May-2023</t>
  </si>
  <si>
    <t>Beacon Media &amp; Advt</t>
  </si>
  <si>
    <t>20-Feb-2024</t>
  </si>
  <si>
    <t>Global Logistics Solutions</t>
  </si>
  <si>
    <t>Office Furniture</t>
  </si>
  <si>
    <t>10-Feb-2024</t>
  </si>
  <si>
    <t>Summit Engineering Works</t>
  </si>
  <si>
    <t>Stationery</t>
  </si>
  <si>
    <t>Credit Card</t>
  </si>
  <si>
    <t>24-Sep-2023</t>
  </si>
  <si>
    <t>Matrix Infrastructure</t>
  </si>
  <si>
    <t>West Bengal</t>
  </si>
  <si>
    <t>East</t>
  </si>
  <si>
    <t>Wearables</t>
  </si>
  <si>
    <t>16-Sep-2023</t>
  </si>
  <si>
    <t>Female</t>
  </si>
  <si>
    <t>17-Jun-2023</t>
  </si>
  <si>
    <t>Punjab</t>
  </si>
  <si>
    <t>North</t>
  </si>
  <si>
    <t>08-Sep-2023</t>
  </si>
  <si>
    <t>Omni Software Systems</t>
  </si>
  <si>
    <t>Karnataka</t>
  </si>
  <si>
    <t>Personal Care</t>
  </si>
  <si>
    <t>14-Jan-2024</t>
  </si>
  <si>
    <t>Gujarat</t>
  </si>
  <si>
    <t>West</t>
  </si>
  <si>
    <t>06-Mar-2024</t>
  </si>
  <si>
    <t>Evergreen Eco-Tech</t>
  </si>
  <si>
    <t>Industrial Hardware</t>
  </si>
  <si>
    <t>Fasteners</t>
  </si>
  <si>
    <t>07-Jul-2023</t>
  </si>
  <si>
    <t>Odisha</t>
  </si>
  <si>
    <t>Smartphones</t>
  </si>
  <si>
    <t>04-Nov-2023</t>
  </si>
  <si>
    <t>14-Feb-2024</t>
  </si>
  <si>
    <t>27-Jan-2024</t>
  </si>
  <si>
    <t>Cables &amp; Wiring</t>
  </si>
  <si>
    <t>13-Aug-2023</t>
  </si>
  <si>
    <t>Jupiter Retail Chains</t>
  </si>
  <si>
    <t>30-Jun-2023</t>
  </si>
  <si>
    <t>05-Nov-2023</t>
  </si>
  <si>
    <t>Storage Units</t>
  </si>
  <si>
    <t>22-Dec-2023</t>
  </si>
  <si>
    <t>Maharashtra</t>
  </si>
  <si>
    <t>Paper Products</t>
  </si>
  <si>
    <t>03-Mar-2024</t>
  </si>
  <si>
    <t>Apex Manufacturing Corp</t>
  </si>
  <si>
    <t>Delhi</t>
  </si>
  <si>
    <t>01-Sep-2023</t>
  </si>
  <si>
    <t>24-Jun-2023</t>
  </si>
  <si>
    <t>30-Mar-2024</t>
  </si>
  <si>
    <t>05-Sep-2023</t>
  </si>
  <si>
    <t>05-Jul-2023</t>
  </si>
  <si>
    <t>24-Feb-2024</t>
  </si>
  <si>
    <t>Power Tools</t>
  </si>
  <si>
    <t>16-Jun-2023</t>
  </si>
  <si>
    <t>Beverages</t>
  </si>
  <si>
    <t>20-Dec-2023</t>
  </si>
  <si>
    <t>23-Mar-2024</t>
  </si>
  <si>
    <t>09-Aug-2023</t>
  </si>
  <si>
    <t>Packaged Food</t>
  </si>
  <si>
    <t>26-Sep-2023</t>
  </si>
  <si>
    <t>12-Dec-2023</t>
  </si>
  <si>
    <t>19-May-2023</t>
  </si>
  <si>
    <t>08-May-2023</t>
  </si>
  <si>
    <t>11-Mar-2024</t>
  </si>
  <si>
    <t>Health Supplements</t>
  </si>
  <si>
    <t>12-Apr-2023</t>
  </si>
  <si>
    <t>14-Aug-2023</t>
  </si>
  <si>
    <t>29-Oct-2023</t>
  </si>
  <si>
    <t>28-Sep-2023</t>
  </si>
  <si>
    <t>23-Apr-2023</t>
  </si>
  <si>
    <t>Measurement Tools</t>
  </si>
  <si>
    <t>21-Dec-2023</t>
  </si>
  <si>
    <t>22-Sep-2023</t>
  </si>
  <si>
    <t>31-Aug-2023</t>
  </si>
  <si>
    <t>15-Feb-2024</t>
  </si>
  <si>
    <t>16-Oct-2023</t>
  </si>
  <si>
    <t>Sapphire Hospitality Group</t>
  </si>
  <si>
    <t>17-Feb-2024</t>
  </si>
  <si>
    <t>25-Oct-2023</t>
  </si>
  <si>
    <t>12-Mar-2024</t>
  </si>
  <si>
    <t>10-Jan-2024</t>
  </si>
  <si>
    <t>28-Dec-2023</t>
  </si>
  <si>
    <t>08-Dec-2023</t>
  </si>
  <si>
    <t>08-Apr-2023</t>
  </si>
  <si>
    <t>01-Feb-2024</t>
  </si>
  <si>
    <t>06-May-2023</t>
  </si>
  <si>
    <t>Laptops</t>
  </si>
  <si>
    <t>02-May-2023</t>
  </si>
  <si>
    <t>Safety Equipment</t>
  </si>
  <si>
    <t>12-Aug-2023</t>
  </si>
  <si>
    <t>15-Jan-2024</t>
  </si>
  <si>
    <t>01-May-2023</t>
  </si>
  <si>
    <t>20-May-2023</t>
  </si>
  <si>
    <t>18-Feb-2024</t>
  </si>
  <si>
    <t>31-May-2023</t>
  </si>
  <si>
    <t>05-Jun-2023</t>
  </si>
  <si>
    <t>16-Aug-2023</t>
  </si>
  <si>
    <t>10-Jun-2023</t>
  </si>
  <si>
    <t>02-Aug-2023</t>
  </si>
  <si>
    <t>03-Nov-2023</t>
  </si>
  <si>
    <t>11-Dec-2023</t>
  </si>
  <si>
    <t>12-Sep-2023</t>
  </si>
  <si>
    <t>09-Dec-2023</t>
  </si>
  <si>
    <t>20-Aug-2023</t>
  </si>
  <si>
    <t>23-Dec-2023</t>
  </si>
  <si>
    <t>18-Sep-2023</t>
  </si>
  <si>
    <t>25-Feb-2024</t>
  </si>
  <si>
    <t>03-Jun-2023</t>
  </si>
  <si>
    <t>07-Aug-2023</t>
  </si>
  <si>
    <t>17-Jan-2024</t>
  </si>
  <si>
    <t>Audio Equipment</t>
  </si>
  <si>
    <t>29-May-2023</t>
  </si>
  <si>
    <t>04-Jun-2023</t>
  </si>
  <si>
    <t>24-Oct-2023</t>
  </si>
  <si>
    <t>18-Jan-2024</t>
  </si>
  <si>
    <t>23-May-2023</t>
  </si>
  <si>
    <t>16-Apr-2023</t>
  </si>
  <si>
    <t>22-Jul-2023</t>
  </si>
  <si>
    <t>05-May-2023</t>
  </si>
  <si>
    <t>01-Oct-2023</t>
  </si>
  <si>
    <t>18-Jun-2023</t>
  </si>
  <si>
    <t>01-Apr-2023</t>
  </si>
  <si>
    <t>05-Dec-2023</t>
  </si>
  <si>
    <t>19-Feb-2024</t>
  </si>
  <si>
    <t>12-Jun-2023</t>
  </si>
  <si>
    <t>31-Dec-2023</t>
  </si>
  <si>
    <t>19-Aug-2023</t>
  </si>
  <si>
    <t>26-Feb-2024</t>
  </si>
  <si>
    <t>13-Sep-2023</t>
  </si>
  <si>
    <t>17-Mar-2024</t>
  </si>
  <si>
    <t>28-Feb-2024</t>
  </si>
  <si>
    <t>24-May-2023</t>
  </si>
  <si>
    <t>09-Oct-2023</t>
  </si>
  <si>
    <t>26-Mar-2024</t>
  </si>
  <si>
    <t>15-Mar-2024</t>
  </si>
  <si>
    <t>11-May-2023</t>
  </si>
  <si>
    <t>13-Mar-2024</t>
  </si>
  <si>
    <t>23-Jan-2024</t>
  </si>
  <si>
    <t>15-Sep-2023</t>
  </si>
  <si>
    <t>17-Apr-2023</t>
  </si>
  <si>
    <t>18-Jul-2023</t>
  </si>
  <si>
    <t>29-Apr-2023</t>
  </si>
  <si>
    <t>11-Oct-2023</t>
  </si>
  <si>
    <t>02-Mar-2024</t>
  </si>
  <si>
    <t>23-Oct-2023</t>
  </si>
  <si>
    <t>02-Dec-2023</t>
  </si>
  <si>
    <t>19-Dec-2023</t>
  </si>
  <si>
    <t>06-Oct-2023</t>
  </si>
  <si>
    <t>26-May-2023</t>
  </si>
  <si>
    <t>17-May-2023</t>
  </si>
  <si>
    <t>11-Jan-2024</t>
  </si>
  <si>
    <t>03-Dec-2023</t>
  </si>
  <si>
    <t>01-Mar-2024</t>
  </si>
  <si>
    <t>21-Sep-2023</t>
  </si>
  <si>
    <t>16-Jan-2024</t>
  </si>
  <si>
    <t>13-Jan-2024</t>
  </si>
  <si>
    <t>06-Nov-2023</t>
  </si>
  <si>
    <t>18-Apr-2023</t>
  </si>
  <si>
    <t>18-Aug-2023</t>
  </si>
  <si>
    <t>01-Jan-2024</t>
  </si>
  <si>
    <t>11-Feb-2024</t>
  </si>
  <si>
    <t>17-Aug-2023</t>
  </si>
  <si>
    <t>21-May-2023</t>
  </si>
  <si>
    <t>29-Sep-2023</t>
  </si>
  <si>
    <t>25-Apr-2023</t>
  </si>
  <si>
    <t>07-May-2023</t>
  </si>
  <si>
    <t>26-Dec-2023</t>
  </si>
  <si>
    <t>05-Aug-2023</t>
  </si>
  <si>
    <t>01-Jul-2023</t>
  </si>
  <si>
    <t>09-Nov-2023</t>
  </si>
  <si>
    <t>14-Dec-2023</t>
  </si>
  <si>
    <t>13-Jul-2023</t>
  </si>
  <si>
    <t>16-Feb-2024</t>
  </si>
  <si>
    <t>07-Jun-2023</t>
  </si>
  <si>
    <t>05-Apr-2023</t>
  </si>
  <si>
    <t>25-Jun-2023</t>
  </si>
  <si>
    <t>21-Oct-2023</t>
  </si>
  <si>
    <t>05-Mar-2024</t>
  </si>
  <si>
    <t>29-Dec-2023</t>
  </si>
  <si>
    <t>03-Sep-2023</t>
  </si>
  <si>
    <t>06-Aug-2023</t>
  </si>
  <si>
    <t>20-Jul-2023</t>
  </si>
  <si>
    <t>30-Nov-2023</t>
  </si>
  <si>
    <t>25-Jul-2023</t>
  </si>
  <si>
    <t>07-Feb-2024</t>
  </si>
  <si>
    <t>20-Nov-2023</t>
  </si>
  <si>
    <t>15-Jul-2023</t>
  </si>
  <si>
    <t>23-Aug-2023</t>
  </si>
  <si>
    <t>07-Apr-2023</t>
  </si>
  <si>
    <t>27-Nov-2023</t>
  </si>
  <si>
    <t>27-Jun-2023</t>
  </si>
  <si>
    <t>09-Apr-2023</t>
  </si>
  <si>
    <t>29-Jun-2023</t>
  </si>
  <si>
    <t>01-Nov-2023</t>
  </si>
  <si>
    <t>04-Oct-2023</t>
  </si>
  <si>
    <t>30-Aug-2023</t>
  </si>
  <si>
    <t>19-Sep-2023</t>
  </si>
  <si>
    <t>06-Jun-2023</t>
  </si>
  <si>
    <t>10-Nov-2023</t>
  </si>
  <si>
    <t>29-Jul-2023</t>
  </si>
  <si>
    <t>18-Mar-2024</t>
  </si>
  <si>
    <t>08-Oct-2023</t>
  </si>
  <si>
    <t>04-May-2023</t>
  </si>
  <si>
    <t>09-May-2023</t>
  </si>
  <si>
    <t>02-Jul-2023</t>
  </si>
  <si>
    <t>10-Jul-2023</t>
  </si>
  <si>
    <t>13-Oct-2023</t>
  </si>
  <si>
    <t>07-Mar-2024</t>
  </si>
  <si>
    <t>07-Sep-2023</t>
  </si>
  <si>
    <t>21-Jan-2024</t>
  </si>
  <si>
    <t>27-May-2023</t>
  </si>
  <si>
    <t>12-Jul-2023</t>
  </si>
  <si>
    <t>15-May-2023</t>
  </si>
  <si>
    <t>20-Jun-2023</t>
  </si>
  <si>
    <t>17-Nov-2023</t>
  </si>
  <si>
    <t>14-Sep-2023</t>
  </si>
  <si>
    <t>31-Jul-2023</t>
  </si>
  <si>
    <t>09-Jun-2023</t>
  </si>
  <si>
    <t>06-Apr-2023</t>
  </si>
  <si>
    <t>03-Jan-2024</t>
  </si>
  <si>
    <t>20-Jan-2024</t>
  </si>
  <si>
    <t>07-Jan-2024</t>
  </si>
  <si>
    <t>20-Mar-2024</t>
  </si>
  <si>
    <t>24-Aug-2023</t>
  </si>
  <si>
    <t>18-Nov-2023</t>
  </si>
  <si>
    <t>14-Apr-2023</t>
  </si>
  <si>
    <t>10-Mar-2024</t>
  </si>
  <si>
    <t>23-Nov-2023</t>
  </si>
  <si>
    <t>24-Apr-2023</t>
  </si>
  <si>
    <t>25-Mar-2024</t>
  </si>
  <si>
    <t>25-Dec-2023</t>
  </si>
  <si>
    <t>28-Apr-2023</t>
  </si>
  <si>
    <t>13-Dec-2023</t>
  </si>
  <si>
    <t>26-Oct-2023</t>
  </si>
  <si>
    <t>21-Apr-2023</t>
  </si>
  <si>
    <t>18-May-2023</t>
  </si>
  <si>
    <t>27-Aug-2023</t>
  </si>
  <si>
    <t>16-May-2023</t>
  </si>
  <si>
    <t>06-Jan-2024</t>
  </si>
  <si>
    <t>27-Oct-2023</t>
  </si>
  <si>
    <t>28-Oct-2023</t>
  </si>
  <si>
    <t>02-Feb-2024</t>
  </si>
  <si>
    <t>16-Nov-2023</t>
  </si>
  <si>
    <t>08-Jan-2024</t>
  </si>
  <si>
    <t>30-Jul-2023</t>
  </si>
  <si>
    <t>21-Mar-2024</t>
  </si>
  <si>
    <t>13-Nov-2023</t>
  </si>
  <si>
    <t>22-Jan-2024</t>
  </si>
  <si>
    <t>26-Jun-2023</t>
  </si>
  <si>
    <t>05-Feb-2024</t>
  </si>
  <si>
    <t>23-Jun-2023</t>
  </si>
  <si>
    <t>06-Feb-2024</t>
  </si>
  <si>
    <t>02-Nov-2023</t>
  </si>
  <si>
    <t>29-Nov-2023</t>
  </si>
  <si>
    <t>20-Apr-2023</t>
  </si>
  <si>
    <t>13-Feb-2024</t>
  </si>
  <si>
    <t>04-Sep-2023</t>
  </si>
  <si>
    <t>08-Aug-2023</t>
  </si>
  <si>
    <t>19-Oct-2023</t>
  </si>
  <si>
    <t>25-Jan-2024</t>
  </si>
  <si>
    <t>17-Jul-2023</t>
  </si>
  <si>
    <t>04-Jan-2024</t>
  </si>
  <si>
    <t>29-Mar-2024</t>
  </si>
  <si>
    <t>28-Jan-2024</t>
  </si>
  <si>
    <t>26-Jan-2024</t>
  </si>
  <si>
    <t>22-Apr-2023</t>
  </si>
  <si>
    <t>23-Sep-2023</t>
  </si>
  <si>
    <t>04-Apr-2023</t>
  </si>
  <si>
    <t>21-Jun-2023</t>
  </si>
  <si>
    <t>19-Apr-2023</t>
  </si>
  <si>
    <t>06-Dec-2023</t>
  </si>
  <si>
    <t>05-Oct-2023</t>
  </si>
  <si>
    <t>22-Oct-2023</t>
  </si>
  <si>
    <t>01-Dec-2023</t>
  </si>
  <si>
    <t>19-Jul-2023</t>
  </si>
  <si>
    <t>14-Mar-2024</t>
  </si>
  <si>
    <t>10-Oct-2023</t>
  </si>
  <si>
    <t>27-Dec-2023</t>
  </si>
  <si>
    <t>30-Apr-2023</t>
  </si>
  <si>
    <t>11-Jul-2023</t>
  </si>
  <si>
    <t>27-Jul-2023</t>
  </si>
  <si>
    <t>09-Sep-2023</t>
  </si>
  <si>
    <t>30-Sep-2023</t>
  </si>
  <si>
    <t>04-Jul-2023</t>
  </si>
  <si>
    <t>15-Dec-2023</t>
  </si>
  <si>
    <t>01-Aug-2023</t>
  </si>
  <si>
    <t>29-Feb-2024</t>
  </si>
  <si>
    <t>13-May-2023</t>
  </si>
  <si>
    <t>31-Oct-2023</t>
  </si>
  <si>
    <t>10-Sep-2023</t>
  </si>
  <si>
    <t>26-Nov-2023</t>
  </si>
  <si>
    <t>06-Jul-2023</t>
  </si>
  <si>
    <t>24-Jul-2023</t>
  </si>
  <si>
    <t>28-Nov-2023</t>
  </si>
  <si>
    <t>11-Apr-2023</t>
  </si>
  <si>
    <t>22-Mar-2024</t>
  </si>
  <si>
    <t>27-Mar-2024</t>
  </si>
  <si>
    <t>09-Jan-2024</t>
  </si>
  <si>
    <t>15-Aug-2023</t>
  </si>
  <si>
    <t>26-Aug-2023</t>
  </si>
  <si>
    <t>07-Nov-2023</t>
  </si>
  <si>
    <t>27-Feb-2024</t>
  </si>
  <si>
    <t>02-Apr-2023</t>
  </si>
  <si>
    <t>21-Feb-2024</t>
  </si>
  <si>
    <t>02-Jun-2023</t>
  </si>
  <si>
    <t>12-May-2023</t>
  </si>
  <si>
    <t>25-Sep-2023</t>
  </si>
  <si>
    <t>07-Dec-2023</t>
  </si>
  <si>
    <t>09-Jul-2023</t>
  </si>
  <si>
    <t>16-Mar-2024</t>
  </si>
  <si>
    <t>18-Oct-2023</t>
  </si>
  <si>
    <t>30-Oct-2023</t>
  </si>
  <si>
    <t>16-Dec-2023</t>
  </si>
  <si>
    <t>30-Dec-2023</t>
  </si>
  <si>
    <t>02-Oct-2023</t>
  </si>
  <si>
    <t>11-Nov-2023</t>
  </si>
  <si>
    <t>28-Mar-2024</t>
  </si>
  <si>
    <t>19-Mar-2024</t>
  </si>
  <si>
    <t>02-Jan-2024</t>
  </si>
  <si>
    <t>10-May-2023</t>
  </si>
  <si>
    <t>04-Feb-2024</t>
  </si>
  <si>
    <t>20-Oct-2023</t>
  </si>
  <si>
    <t>14-Jul-2023</t>
  </si>
  <si>
    <t>22-May-2023</t>
  </si>
  <si>
    <t>07-Oct-2023</t>
  </si>
  <si>
    <t>08-Feb-2024</t>
  </si>
  <si>
    <t>11-Sep-2023</t>
  </si>
  <si>
    <t>08-Jul-2023</t>
  </si>
  <si>
    <t>22-Aug-2023</t>
  </si>
  <si>
    <t>10-Aug-2023</t>
  </si>
  <si>
    <t>28-Jun-2023</t>
  </si>
  <si>
    <t>20-Sep-2023</t>
  </si>
  <si>
    <t>25-Nov-2023</t>
  </si>
  <si>
    <t>23-Jul-2023</t>
  </si>
  <si>
    <t>21-Jul-2023</t>
  </si>
  <si>
    <t>26-Jul-2023</t>
  </si>
  <si>
    <t>29-Jan-2024</t>
  </si>
  <si>
    <t>03-Oct-2023</t>
  </si>
  <si>
    <t>10-Apr-2023</t>
  </si>
  <si>
    <t>04-Dec-2023</t>
  </si>
  <si>
    <t>12-Jan-2024</t>
  </si>
  <si>
    <t>18-Dec-2023</t>
  </si>
  <si>
    <t>28-Aug-2023</t>
  </si>
  <si>
    <t>01-Jun-2023</t>
  </si>
  <si>
    <t>10-Dec-2023</t>
  </si>
  <si>
    <t>03-Apr-2023</t>
  </si>
  <si>
    <t>12-Feb-2024</t>
  </si>
  <si>
    <t>17-Oct-2023</t>
  </si>
  <si>
    <t>22-Jun-2023</t>
  </si>
  <si>
    <t>27-Apr-2023</t>
  </si>
  <si>
    <t>30-Jan-2024</t>
  </si>
  <si>
    <t>25-Aug-2023</t>
  </si>
  <si>
    <t>15-Jun-2023</t>
  </si>
  <si>
    <t>11-Aug-2023</t>
  </si>
  <si>
    <t>12-Oct-2023</t>
  </si>
  <si>
    <t>28-May-2023</t>
  </si>
  <si>
    <t>27-Sep-2023</t>
  </si>
  <si>
    <t>19-Nov-2023</t>
  </si>
  <si>
    <t>24-Nov-2023</t>
  </si>
  <si>
    <t>12-Nov-2023</t>
  </si>
  <si>
    <t>21-Nov-2023</t>
  </si>
  <si>
    <t>17-Sep-2023</t>
  </si>
  <si>
    <t>Cash</t>
  </si>
  <si>
    <t>UPI</t>
  </si>
  <si>
    <t>Debit Card</t>
  </si>
  <si>
    <t>Offline</t>
  </si>
  <si>
    <t>Online</t>
  </si>
  <si>
    <t>Customer Name</t>
  </si>
  <si>
    <t>Amount</t>
  </si>
  <si>
    <t xml:space="preserve">GST </t>
  </si>
  <si>
    <t>Total Sales</t>
  </si>
  <si>
    <t>Discount</t>
  </si>
  <si>
    <t>Net Sales</t>
  </si>
  <si>
    <t>Product Performance</t>
  </si>
  <si>
    <t>Country</t>
  </si>
  <si>
    <t>India</t>
  </si>
  <si>
    <t>Raw Material</t>
  </si>
  <si>
    <t>Transportation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</si>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</sst>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3" tint="-0.249977111117893"/>
      <name val="Franklin Gothic Medium Cond"/>
      <family val="2"/>
    </font>
    <font>
      <b/>
      <sz val="20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99FF99"/>
      <color rgb="FF1C7F0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3"/>
  <sheetViews>
    <sheetView tabSelected="1" zoomScale="82" zoomScaleNormal="82" workbookViewId="0">
      <selection sqref="A1:W2"/>
    </sheetView>
  </sheetViews>
  <sheetFormatPr defaultRowHeight="15" x14ac:dyDescent="0.25"/>
  <cols>
    <col min="1" max="1" width="14" customWidth="1"/>
    <col min="2" max="2" width="31" customWidth="1"/>
    <col min="3" max="3" width="17" customWidth="1"/>
    <col min="4" max="4" width="11.140625" bestFit="1" customWidth="1"/>
    <col min="5" max="5" width="28" bestFit="1" customWidth="1"/>
    <col min="6" max="6" width="34.28515625" bestFit="1" customWidth="1"/>
    <col min="7" max="7" width="17.5703125" customWidth="1"/>
    <col min="8" max="8" width="21.7109375" bestFit="1" customWidth="1"/>
    <col min="9" max="9" width="12" customWidth="1"/>
    <col min="10" max="10" width="11" customWidth="1"/>
    <col min="11" max="11" width="8" customWidth="1"/>
    <col min="12" max="12" width="11.28515625" customWidth="1"/>
    <col min="13" max="13" width="15.140625" customWidth="1"/>
    <col min="14" max="16" width="16" customWidth="1"/>
    <col min="17" max="17" width="20.7109375" bestFit="1" customWidth="1"/>
    <col min="18" max="18" width="23.140625" customWidth="1"/>
    <col min="19" max="19" width="23.42578125" bestFit="1" customWidth="1"/>
    <col min="20" max="20" width="22.140625" customWidth="1"/>
    <col min="21" max="21" width="18" customWidth="1"/>
    <col min="23" max="23" width="23.5703125" customWidth="1"/>
  </cols>
  <sheetData>
    <row r="1" spans="1:23" ht="15" customHeight="1" x14ac:dyDescent="0.25">
      <c r="A1" s="4" t="s">
        <v>406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x14ac:dyDescent="0.25">
      <c r="A3" s="3" t="s">
        <v>0</v>
      </c>
      <c r="B3" s="3" t="s">
        <v>400</v>
      </c>
      <c r="C3" s="3" t="s">
        <v>407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401</v>
      </c>
      <c r="N3" s="3" t="s">
        <v>402</v>
      </c>
      <c r="O3" s="3" t="s">
        <v>403</v>
      </c>
      <c r="P3" s="3" t="s">
        <v>404</v>
      </c>
      <c r="Q3" s="3" t="s">
        <v>405</v>
      </c>
      <c r="R3" s="3" t="s">
        <v>409</v>
      </c>
      <c r="S3" s="3" t="s">
        <v>410</v>
      </c>
      <c r="T3" s="3" t="s">
        <v>411</v>
      </c>
      <c r="U3" s="3" t="s">
        <v>10</v>
      </c>
      <c r="V3" s="3" t="s">
        <v>11</v>
      </c>
      <c r="W3" s="3" t="s">
        <v>12</v>
      </c>
    </row>
    <row r="4" spans="1:23" x14ac:dyDescent="0.25">
      <c r="A4" s="1" t="s">
        <v>13</v>
      </c>
      <c r="B4" s="1" t="s">
        <v>14</v>
      </c>
      <c r="C4" s="1" t="s">
        <v>408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398</v>
      </c>
      <c r="I4" s="1" t="s">
        <v>19</v>
      </c>
      <c r="J4" s="1" t="s">
        <v>46</v>
      </c>
      <c r="K4" s="1">
        <v>43</v>
      </c>
      <c r="L4" s="1">
        <v>24846</v>
      </c>
      <c r="M4" s="2">
        <f>K4*L4</f>
        <v>1068378</v>
      </c>
      <c r="N4" s="1">
        <v>163461.82999999999</v>
      </c>
      <c r="O4" s="1">
        <f>M4+N4</f>
        <v>1231839.83</v>
      </c>
      <c r="P4" s="1">
        <v>8295</v>
      </c>
      <c r="Q4" s="1">
        <f>O4-P4</f>
        <v>1223544.83</v>
      </c>
      <c r="R4" s="1">
        <f>0.62*U4</f>
        <v>439196.84</v>
      </c>
      <c r="S4" s="1">
        <f>U4*0.2</f>
        <v>141676.4</v>
      </c>
      <c r="T4" s="1">
        <f>U4-S4-R4</f>
        <v>127508.75999999995</v>
      </c>
      <c r="U4" s="1">
        <v>708382</v>
      </c>
      <c r="V4" s="1">
        <f t="shared" ref="V4:V67" si="0">Q4-U4</f>
        <v>515162.83000000007</v>
      </c>
      <c r="W4" s="1">
        <v>3.6</v>
      </c>
    </row>
    <row r="5" spans="1:23" x14ac:dyDescent="0.25">
      <c r="A5" s="1" t="s">
        <v>20</v>
      </c>
      <c r="B5" s="1" t="s">
        <v>21</v>
      </c>
      <c r="C5" s="1" t="s">
        <v>408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399</v>
      </c>
      <c r="I5" s="1" t="s">
        <v>395</v>
      </c>
      <c r="J5" s="1" t="s">
        <v>26</v>
      </c>
      <c r="K5" s="1">
        <v>21</v>
      </c>
      <c r="L5" s="1">
        <v>13416</v>
      </c>
      <c r="M5" s="2">
        <f t="shared" ref="M5:M68" si="1">K5*L5</f>
        <v>281736</v>
      </c>
      <c r="N5" s="1">
        <v>43105.61</v>
      </c>
      <c r="O5" s="1">
        <f t="shared" ref="O5:O68" si="2">M5+N5</f>
        <v>324841.61</v>
      </c>
      <c r="P5" s="1">
        <v>5915</v>
      </c>
      <c r="Q5" s="1">
        <f t="shared" ref="Q5:Q68" si="3">O5-P5</f>
        <v>318926.61</v>
      </c>
      <c r="R5" s="1">
        <v>52505.25</v>
      </c>
      <c r="S5" s="1">
        <f t="shared" ref="S5:S68" si="4">U5*0.2</f>
        <v>42004.200000000004</v>
      </c>
      <c r="T5" s="1">
        <f t="shared" ref="T5:T68" si="5">U5-S5-R5</f>
        <v>115511.54999999999</v>
      </c>
      <c r="U5" s="1">
        <v>210021</v>
      </c>
      <c r="V5" s="1">
        <f t="shared" si="0"/>
        <v>108905.60999999999</v>
      </c>
      <c r="W5" s="1">
        <v>4.2</v>
      </c>
    </row>
    <row r="6" spans="1:23" x14ac:dyDescent="0.25">
      <c r="A6" s="1" t="s">
        <v>27</v>
      </c>
      <c r="B6" s="1" t="s">
        <v>28</v>
      </c>
      <c r="C6" s="1" t="s">
        <v>408</v>
      </c>
      <c r="D6" s="1" t="s">
        <v>22</v>
      </c>
      <c r="E6" s="1" t="s">
        <v>23</v>
      </c>
      <c r="F6" s="1" t="s">
        <v>29</v>
      </c>
      <c r="G6" s="1" t="s">
        <v>30</v>
      </c>
      <c r="H6" s="1" t="s">
        <v>398</v>
      </c>
      <c r="I6" s="1" t="s">
        <v>39</v>
      </c>
      <c r="J6" s="1" t="s">
        <v>26</v>
      </c>
      <c r="K6" s="1">
        <v>180</v>
      </c>
      <c r="L6" s="1">
        <v>24029</v>
      </c>
      <c r="M6" s="2">
        <f t="shared" si="1"/>
        <v>4325220</v>
      </c>
      <c r="N6" s="1">
        <v>685114.85</v>
      </c>
      <c r="O6" s="1">
        <f t="shared" si="2"/>
        <v>5010334.8499999996</v>
      </c>
      <c r="P6" s="1">
        <v>8401</v>
      </c>
      <c r="Q6" s="1">
        <f t="shared" si="3"/>
        <v>5001933.8499999996</v>
      </c>
      <c r="R6" s="1">
        <v>2504250</v>
      </c>
      <c r="S6" s="1">
        <f>U6*0.1</f>
        <v>333900</v>
      </c>
      <c r="T6" s="1">
        <f t="shared" si="5"/>
        <v>500850</v>
      </c>
      <c r="U6" s="1">
        <v>3339000</v>
      </c>
      <c r="V6" s="1">
        <f t="shared" si="0"/>
        <v>1662933.8499999996</v>
      </c>
      <c r="W6" s="1">
        <v>4.0999999999999996</v>
      </c>
    </row>
    <row r="7" spans="1:23" x14ac:dyDescent="0.25">
      <c r="A7" s="1" t="s">
        <v>31</v>
      </c>
      <c r="B7" s="1" t="s">
        <v>32</v>
      </c>
      <c r="C7" s="1" t="s">
        <v>408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399</v>
      </c>
      <c r="I7" s="1" t="s">
        <v>396</v>
      </c>
      <c r="J7" s="1" t="s">
        <v>46</v>
      </c>
      <c r="K7" s="1">
        <v>30</v>
      </c>
      <c r="L7" s="1">
        <v>26332</v>
      </c>
      <c r="M7" s="2">
        <f t="shared" si="1"/>
        <v>789960</v>
      </c>
      <c r="N7" s="1">
        <v>130817.38</v>
      </c>
      <c r="O7" s="1">
        <f t="shared" si="2"/>
        <v>920777.38</v>
      </c>
      <c r="P7" s="1">
        <v>9409</v>
      </c>
      <c r="Q7" s="1">
        <f t="shared" si="3"/>
        <v>911368.38</v>
      </c>
      <c r="R7" s="1">
        <f t="shared" ref="R7:R9" si="6">0.62*U7</f>
        <v>368484.6</v>
      </c>
      <c r="S7" s="1">
        <f t="shared" ref="S7:S9" si="7">U7*0.2</f>
        <v>118866</v>
      </c>
      <c r="T7" s="1">
        <f t="shared" si="5"/>
        <v>106979.40000000002</v>
      </c>
      <c r="U7" s="1">
        <v>594330</v>
      </c>
      <c r="V7" s="1">
        <f t="shared" si="0"/>
        <v>317038.38</v>
      </c>
      <c r="W7" s="1">
        <v>4</v>
      </c>
    </row>
    <row r="8" spans="1:23" x14ac:dyDescent="0.25">
      <c r="A8" s="1" t="s">
        <v>33</v>
      </c>
      <c r="B8" s="1" t="s">
        <v>34</v>
      </c>
      <c r="C8" s="1" t="s">
        <v>408</v>
      </c>
      <c r="D8" s="1" t="s">
        <v>15</v>
      </c>
      <c r="E8" s="1" t="s">
        <v>16</v>
      </c>
      <c r="F8" s="1" t="s">
        <v>17</v>
      </c>
      <c r="G8" s="1" t="s">
        <v>35</v>
      </c>
      <c r="H8" s="1" t="s">
        <v>399</v>
      </c>
      <c r="I8" s="1" t="s">
        <v>395</v>
      </c>
      <c r="J8" s="1" t="s">
        <v>46</v>
      </c>
      <c r="K8" s="1">
        <v>125</v>
      </c>
      <c r="L8" s="1">
        <v>30051</v>
      </c>
      <c r="M8" s="2">
        <f t="shared" si="1"/>
        <v>3756375</v>
      </c>
      <c r="N8" s="1">
        <v>622055.69999999995</v>
      </c>
      <c r="O8" s="1">
        <f t="shared" si="2"/>
        <v>4378430.7</v>
      </c>
      <c r="P8" s="1">
        <v>5645</v>
      </c>
      <c r="Q8" s="1">
        <f t="shared" si="3"/>
        <v>4372785.7</v>
      </c>
      <c r="R8" s="1">
        <f t="shared" si="6"/>
        <v>1838455</v>
      </c>
      <c r="S8" s="1">
        <f t="shared" si="7"/>
        <v>593050</v>
      </c>
      <c r="T8" s="1">
        <f t="shared" si="5"/>
        <v>533745</v>
      </c>
      <c r="U8" s="1">
        <v>2965250</v>
      </c>
      <c r="V8" s="1">
        <f t="shared" si="0"/>
        <v>1407535.7000000002</v>
      </c>
      <c r="W8" s="1">
        <v>4.7</v>
      </c>
    </row>
    <row r="9" spans="1:23" x14ac:dyDescent="0.25">
      <c r="A9" s="1" t="s">
        <v>36</v>
      </c>
      <c r="B9" s="1" t="s">
        <v>37</v>
      </c>
      <c r="C9" s="1" t="s">
        <v>408</v>
      </c>
      <c r="D9" s="1" t="s">
        <v>22</v>
      </c>
      <c r="E9" s="1" t="s">
        <v>23</v>
      </c>
      <c r="F9" s="1" t="s">
        <v>17</v>
      </c>
      <c r="G9" s="1" t="s">
        <v>38</v>
      </c>
      <c r="H9" s="1" t="s">
        <v>398</v>
      </c>
      <c r="I9" s="1" t="s">
        <v>395</v>
      </c>
      <c r="J9" s="1" t="s">
        <v>46</v>
      </c>
      <c r="K9" s="1">
        <v>126</v>
      </c>
      <c r="L9" s="1">
        <v>2298</v>
      </c>
      <c r="M9" s="2">
        <f t="shared" si="1"/>
        <v>289548</v>
      </c>
      <c r="N9" s="1">
        <v>49512.71</v>
      </c>
      <c r="O9" s="1">
        <f t="shared" si="2"/>
        <v>339060.71</v>
      </c>
      <c r="P9" s="1">
        <v>8898</v>
      </c>
      <c r="Q9" s="1">
        <f t="shared" si="3"/>
        <v>330162.71000000002</v>
      </c>
      <c r="R9" s="1">
        <f t="shared" si="6"/>
        <v>135928.79999999999</v>
      </c>
      <c r="S9" s="1">
        <f t="shared" si="7"/>
        <v>43848</v>
      </c>
      <c r="T9" s="1">
        <f t="shared" si="5"/>
        <v>39463.200000000012</v>
      </c>
      <c r="U9" s="1">
        <v>219240</v>
      </c>
      <c r="V9" s="1">
        <f t="shared" si="0"/>
        <v>110922.71000000002</v>
      </c>
      <c r="W9" s="1">
        <v>4.5</v>
      </c>
    </row>
    <row r="10" spans="1:23" x14ac:dyDescent="0.25">
      <c r="A10" s="1" t="s">
        <v>40</v>
      </c>
      <c r="B10" s="1" t="s">
        <v>41</v>
      </c>
      <c r="C10" s="1" t="s">
        <v>408</v>
      </c>
      <c r="D10" s="1" t="s">
        <v>42</v>
      </c>
      <c r="E10" s="1" t="s">
        <v>43</v>
      </c>
      <c r="F10" s="1" t="s">
        <v>24</v>
      </c>
      <c r="G10" s="1" t="s">
        <v>44</v>
      </c>
      <c r="H10" s="1" t="s">
        <v>399</v>
      </c>
      <c r="I10" s="1" t="s">
        <v>395</v>
      </c>
      <c r="J10" s="1" t="s">
        <v>46</v>
      </c>
      <c r="K10" s="1">
        <v>22</v>
      </c>
      <c r="L10" s="1">
        <v>21416</v>
      </c>
      <c r="M10" s="2">
        <f t="shared" si="1"/>
        <v>471152</v>
      </c>
      <c r="N10" s="1">
        <v>74630.48</v>
      </c>
      <c r="O10" s="1">
        <f t="shared" si="2"/>
        <v>545782.48</v>
      </c>
      <c r="P10" s="1">
        <v>7917</v>
      </c>
      <c r="Q10" s="1">
        <f t="shared" si="3"/>
        <v>537865.48</v>
      </c>
      <c r="R10" s="1">
        <v>166287</v>
      </c>
      <c r="S10" s="1">
        <f t="shared" si="4"/>
        <v>66514.8</v>
      </c>
      <c r="T10" s="1">
        <f t="shared" si="5"/>
        <v>99772.200000000012</v>
      </c>
      <c r="U10" s="1">
        <v>332574</v>
      </c>
      <c r="V10" s="1">
        <f t="shared" si="0"/>
        <v>205291.47999999998</v>
      </c>
      <c r="W10" s="1">
        <v>4.4000000000000004</v>
      </c>
    </row>
    <row r="11" spans="1:23" x14ac:dyDescent="0.25">
      <c r="A11" s="1" t="s">
        <v>45</v>
      </c>
      <c r="B11" s="1" t="s">
        <v>28</v>
      </c>
      <c r="C11" s="1" t="s">
        <v>408</v>
      </c>
      <c r="D11" s="1" t="s">
        <v>15</v>
      </c>
      <c r="E11" s="1" t="s">
        <v>16</v>
      </c>
      <c r="F11" s="1" t="s">
        <v>24</v>
      </c>
      <c r="G11" s="1" t="s">
        <v>44</v>
      </c>
      <c r="H11" s="1" t="s">
        <v>398</v>
      </c>
      <c r="I11" s="1" t="s">
        <v>396</v>
      </c>
      <c r="J11" s="1" t="s">
        <v>46</v>
      </c>
      <c r="K11" s="1">
        <v>17</v>
      </c>
      <c r="L11" s="1">
        <v>9901</v>
      </c>
      <c r="M11" s="2">
        <f t="shared" si="1"/>
        <v>168317</v>
      </c>
      <c r="N11" s="1">
        <v>28782.21</v>
      </c>
      <c r="O11" s="1">
        <f t="shared" si="2"/>
        <v>197099.21</v>
      </c>
      <c r="P11" s="1">
        <v>8885</v>
      </c>
      <c r="Q11" s="1">
        <f t="shared" si="3"/>
        <v>188214.21</v>
      </c>
      <c r="R11" s="1">
        <v>29427</v>
      </c>
      <c r="S11" s="1">
        <f t="shared" si="4"/>
        <v>23541.600000000002</v>
      </c>
      <c r="T11" s="1">
        <f t="shared" si="5"/>
        <v>64739.399999999994</v>
      </c>
      <c r="U11" s="1">
        <v>117708</v>
      </c>
      <c r="V11" s="1">
        <f t="shared" si="0"/>
        <v>70506.209999999992</v>
      </c>
      <c r="W11" s="1">
        <v>5</v>
      </c>
    </row>
    <row r="12" spans="1:23" x14ac:dyDescent="0.25">
      <c r="A12" s="1" t="s">
        <v>47</v>
      </c>
      <c r="B12" s="1" t="s">
        <v>14</v>
      </c>
      <c r="C12" s="1" t="s">
        <v>408</v>
      </c>
      <c r="D12" s="1" t="s">
        <v>48</v>
      </c>
      <c r="E12" s="1" t="s">
        <v>49</v>
      </c>
      <c r="F12" s="1" t="s">
        <v>24</v>
      </c>
      <c r="G12" s="1" t="s">
        <v>44</v>
      </c>
      <c r="H12" s="1" t="s">
        <v>399</v>
      </c>
      <c r="I12" s="1" t="s">
        <v>396</v>
      </c>
      <c r="J12" s="1" t="s">
        <v>26</v>
      </c>
      <c r="K12" s="1">
        <v>86</v>
      </c>
      <c r="L12" s="1">
        <v>10691</v>
      </c>
      <c r="M12" s="2">
        <f t="shared" si="1"/>
        <v>919426</v>
      </c>
      <c r="N12" s="1">
        <v>152256.95000000001</v>
      </c>
      <c r="O12" s="1">
        <f t="shared" si="2"/>
        <v>1071682.95</v>
      </c>
      <c r="P12" s="1">
        <v>8956</v>
      </c>
      <c r="Q12" s="1">
        <f t="shared" si="3"/>
        <v>1062726.95</v>
      </c>
      <c r="R12" s="1">
        <v>173827.5</v>
      </c>
      <c r="S12" s="1">
        <f t="shared" si="4"/>
        <v>139062</v>
      </c>
      <c r="T12" s="1">
        <f t="shared" si="5"/>
        <v>382420.5</v>
      </c>
      <c r="U12" s="1">
        <v>695310</v>
      </c>
      <c r="V12" s="1">
        <f t="shared" si="0"/>
        <v>367416.94999999995</v>
      </c>
      <c r="W12" s="1">
        <v>3.7</v>
      </c>
    </row>
    <row r="13" spans="1:23" x14ac:dyDescent="0.25">
      <c r="A13" s="1" t="s">
        <v>50</v>
      </c>
      <c r="B13" s="1" t="s">
        <v>51</v>
      </c>
      <c r="C13" s="1" t="s">
        <v>408</v>
      </c>
      <c r="D13" s="1" t="s">
        <v>52</v>
      </c>
      <c r="E13" s="1" t="s">
        <v>23</v>
      </c>
      <c r="F13" s="1" t="s">
        <v>29</v>
      </c>
      <c r="G13" s="1" t="s">
        <v>53</v>
      </c>
      <c r="H13" s="1" t="s">
        <v>398</v>
      </c>
      <c r="I13" s="1" t="s">
        <v>395</v>
      </c>
      <c r="J13" s="1" t="s">
        <v>26</v>
      </c>
      <c r="K13" s="1">
        <v>76</v>
      </c>
      <c r="L13" s="1">
        <v>20972</v>
      </c>
      <c r="M13" s="2">
        <f t="shared" si="1"/>
        <v>1593872</v>
      </c>
      <c r="N13" s="1">
        <v>272552.11</v>
      </c>
      <c r="O13" s="1">
        <f t="shared" si="2"/>
        <v>1866424.1099999999</v>
      </c>
      <c r="P13" s="1">
        <v>9711</v>
      </c>
      <c r="Q13" s="1">
        <f t="shared" si="3"/>
        <v>1856713.1099999999</v>
      </c>
      <c r="R13" s="1">
        <v>540018</v>
      </c>
      <c r="S13" s="1">
        <f>U13*0.1</f>
        <v>108003.6</v>
      </c>
      <c r="T13" s="1">
        <f t="shared" si="5"/>
        <v>432014.4</v>
      </c>
      <c r="U13" s="1">
        <v>1080036</v>
      </c>
      <c r="V13" s="1">
        <f t="shared" si="0"/>
        <v>776677.10999999987</v>
      </c>
      <c r="W13" s="1">
        <v>4.8</v>
      </c>
    </row>
    <row r="14" spans="1:23" x14ac:dyDescent="0.25">
      <c r="A14" s="1" t="s">
        <v>54</v>
      </c>
      <c r="B14" s="1" t="s">
        <v>41</v>
      </c>
      <c r="C14" s="1" t="s">
        <v>408</v>
      </c>
      <c r="D14" s="1" t="s">
        <v>55</v>
      </c>
      <c r="E14" s="1" t="s">
        <v>56</v>
      </c>
      <c r="F14" s="1" t="s">
        <v>17</v>
      </c>
      <c r="G14" s="1" t="s">
        <v>18</v>
      </c>
      <c r="H14" s="1" t="s">
        <v>399</v>
      </c>
      <c r="I14" s="1" t="s">
        <v>395</v>
      </c>
      <c r="J14" s="1" t="s">
        <v>46</v>
      </c>
      <c r="K14" s="1">
        <v>24</v>
      </c>
      <c r="L14" s="1">
        <v>5911</v>
      </c>
      <c r="M14" s="2">
        <f t="shared" si="1"/>
        <v>141864</v>
      </c>
      <c r="N14" s="1">
        <v>21705.19</v>
      </c>
      <c r="O14" s="1">
        <f t="shared" si="2"/>
        <v>163569.19</v>
      </c>
      <c r="P14" s="1">
        <v>6011</v>
      </c>
      <c r="Q14" s="1">
        <f t="shared" si="3"/>
        <v>157558.19</v>
      </c>
      <c r="R14" s="1">
        <f>0.62*U14</f>
        <v>56558.879999999997</v>
      </c>
      <c r="S14" s="1">
        <f>U14*0.2</f>
        <v>18244.8</v>
      </c>
      <c r="T14" s="1">
        <f t="shared" si="5"/>
        <v>16420.32</v>
      </c>
      <c r="U14" s="1">
        <v>91224</v>
      </c>
      <c r="V14" s="1">
        <f t="shared" si="0"/>
        <v>66334.19</v>
      </c>
      <c r="W14" s="1">
        <v>4.5999999999999996</v>
      </c>
    </row>
    <row r="15" spans="1:23" x14ac:dyDescent="0.25">
      <c r="A15" s="1" t="s">
        <v>57</v>
      </c>
      <c r="B15" s="1" t="s">
        <v>58</v>
      </c>
      <c r="C15" s="1" t="s">
        <v>408</v>
      </c>
      <c r="D15" s="1" t="s">
        <v>22</v>
      </c>
      <c r="E15" s="1" t="s">
        <v>23</v>
      </c>
      <c r="F15" s="1" t="s">
        <v>59</v>
      </c>
      <c r="G15" s="1" t="s">
        <v>60</v>
      </c>
      <c r="H15" s="1" t="s">
        <v>398</v>
      </c>
      <c r="I15" s="1" t="s">
        <v>397</v>
      </c>
      <c r="J15" s="1" t="s">
        <v>46</v>
      </c>
      <c r="K15" s="1">
        <v>159</v>
      </c>
      <c r="L15" s="1">
        <v>17497</v>
      </c>
      <c r="M15" s="2">
        <f t="shared" si="1"/>
        <v>2782023</v>
      </c>
      <c r="N15" s="1">
        <v>440672.44</v>
      </c>
      <c r="O15" s="1">
        <f t="shared" si="2"/>
        <v>3222695.44</v>
      </c>
      <c r="P15" s="1">
        <v>9215</v>
      </c>
      <c r="Q15" s="1">
        <f t="shared" si="3"/>
        <v>3213480.44</v>
      </c>
      <c r="R15" s="1">
        <f>0.7*U15</f>
        <v>1552746.2999999998</v>
      </c>
      <c r="S15" s="1">
        <f t="shared" si="4"/>
        <v>443641.80000000005</v>
      </c>
      <c r="T15" s="1">
        <f t="shared" si="5"/>
        <v>221820.90000000014</v>
      </c>
      <c r="U15" s="1">
        <v>2218209</v>
      </c>
      <c r="V15" s="1">
        <f t="shared" si="0"/>
        <v>995271.44</v>
      </c>
      <c r="W15" s="1">
        <v>3.6</v>
      </c>
    </row>
    <row r="16" spans="1:23" x14ac:dyDescent="0.25">
      <c r="A16" s="1" t="s">
        <v>61</v>
      </c>
      <c r="B16" s="1" t="s">
        <v>58</v>
      </c>
      <c r="C16" s="1" t="s">
        <v>408</v>
      </c>
      <c r="D16" s="1" t="s">
        <v>62</v>
      </c>
      <c r="E16" s="1" t="s">
        <v>43</v>
      </c>
      <c r="F16" s="1" t="s">
        <v>24</v>
      </c>
      <c r="G16" s="1" t="s">
        <v>63</v>
      </c>
      <c r="H16" s="1" t="s">
        <v>399</v>
      </c>
      <c r="I16" s="1" t="s">
        <v>19</v>
      </c>
      <c r="J16" s="1" t="s">
        <v>26</v>
      </c>
      <c r="K16" s="1">
        <v>149</v>
      </c>
      <c r="L16" s="1">
        <v>19411</v>
      </c>
      <c r="M16" s="2">
        <f t="shared" si="1"/>
        <v>2892239</v>
      </c>
      <c r="N16" s="1">
        <v>442512.57</v>
      </c>
      <c r="O16" s="1">
        <f t="shared" si="2"/>
        <v>3334751.57</v>
      </c>
      <c r="P16" s="1">
        <v>5463</v>
      </c>
      <c r="Q16" s="1">
        <f t="shared" si="3"/>
        <v>3329288.57</v>
      </c>
      <c r="R16" s="1">
        <v>1078015</v>
      </c>
      <c r="S16" s="1">
        <f t="shared" si="4"/>
        <v>431206</v>
      </c>
      <c r="T16" s="1">
        <f t="shared" si="5"/>
        <v>646809</v>
      </c>
      <c r="U16" s="1">
        <v>2156030</v>
      </c>
      <c r="V16" s="1">
        <f t="shared" si="0"/>
        <v>1173258.5699999998</v>
      </c>
      <c r="W16" s="1">
        <v>4.5999999999999996</v>
      </c>
    </row>
    <row r="17" spans="1:23" x14ac:dyDescent="0.25">
      <c r="A17" s="1" t="s">
        <v>64</v>
      </c>
      <c r="B17" s="1" t="s">
        <v>58</v>
      </c>
      <c r="C17" s="1" t="s">
        <v>408</v>
      </c>
      <c r="D17" s="1" t="s">
        <v>48</v>
      </c>
      <c r="E17" s="1" t="s">
        <v>49</v>
      </c>
      <c r="F17" s="1" t="s">
        <v>24</v>
      </c>
      <c r="G17" s="1" t="s">
        <v>44</v>
      </c>
      <c r="H17" s="1" t="s">
        <v>399</v>
      </c>
      <c r="I17" s="1" t="s">
        <v>396</v>
      </c>
      <c r="J17" s="1" t="s">
        <v>26</v>
      </c>
      <c r="K17" s="1">
        <v>117</v>
      </c>
      <c r="L17" s="1">
        <v>28486</v>
      </c>
      <c r="M17" s="2">
        <f t="shared" si="1"/>
        <v>3332862</v>
      </c>
      <c r="N17" s="1">
        <v>509927.89</v>
      </c>
      <c r="O17" s="1">
        <f t="shared" si="2"/>
        <v>3842789.89</v>
      </c>
      <c r="P17" s="1">
        <v>6376</v>
      </c>
      <c r="Q17" s="1">
        <f t="shared" si="3"/>
        <v>3836413.89</v>
      </c>
      <c r="R17" s="1">
        <v>1080144</v>
      </c>
      <c r="S17" s="1">
        <f t="shared" si="4"/>
        <v>432057.60000000003</v>
      </c>
      <c r="T17" s="1">
        <f t="shared" si="5"/>
        <v>648086.39999999991</v>
      </c>
      <c r="U17" s="1">
        <v>2160288</v>
      </c>
      <c r="V17" s="1">
        <f t="shared" si="0"/>
        <v>1676125.8900000001</v>
      </c>
      <c r="W17" s="1">
        <v>4.9000000000000004</v>
      </c>
    </row>
    <row r="18" spans="1:23" x14ac:dyDescent="0.25">
      <c r="A18" s="1" t="s">
        <v>65</v>
      </c>
      <c r="B18" s="1" t="s">
        <v>58</v>
      </c>
      <c r="C18" s="1" t="s">
        <v>408</v>
      </c>
      <c r="D18" s="1" t="s">
        <v>62</v>
      </c>
      <c r="E18" s="1" t="s">
        <v>43</v>
      </c>
      <c r="F18" s="1" t="s">
        <v>24</v>
      </c>
      <c r="G18" s="1" t="s">
        <v>25</v>
      </c>
      <c r="H18" s="1" t="s">
        <v>399</v>
      </c>
      <c r="I18" s="1" t="s">
        <v>396</v>
      </c>
      <c r="J18" s="1" t="s">
        <v>46</v>
      </c>
      <c r="K18" s="1">
        <v>173</v>
      </c>
      <c r="L18" s="1">
        <v>12362</v>
      </c>
      <c r="M18" s="2">
        <f t="shared" si="1"/>
        <v>2138626</v>
      </c>
      <c r="N18" s="1">
        <v>354156.47</v>
      </c>
      <c r="O18" s="1">
        <f t="shared" si="2"/>
        <v>2492782.4699999997</v>
      </c>
      <c r="P18" s="1">
        <v>9645</v>
      </c>
      <c r="Q18" s="1">
        <f t="shared" si="3"/>
        <v>2483137.4699999997</v>
      </c>
      <c r="R18" s="1">
        <v>417492.25</v>
      </c>
      <c r="S18" s="1">
        <f t="shared" si="4"/>
        <v>333993.80000000005</v>
      </c>
      <c r="T18" s="1">
        <f t="shared" si="5"/>
        <v>918482.95</v>
      </c>
      <c r="U18" s="1">
        <v>1669969</v>
      </c>
      <c r="V18" s="1">
        <f t="shared" si="0"/>
        <v>813168.46999999974</v>
      </c>
      <c r="W18" s="1">
        <v>4.7</v>
      </c>
    </row>
    <row r="19" spans="1:23" x14ac:dyDescent="0.25">
      <c r="A19" s="1" t="s">
        <v>66</v>
      </c>
      <c r="B19" s="1" t="s">
        <v>51</v>
      </c>
      <c r="C19" s="1" t="s">
        <v>408</v>
      </c>
      <c r="D19" s="1" t="s">
        <v>62</v>
      </c>
      <c r="E19" s="1" t="s">
        <v>43</v>
      </c>
      <c r="F19" s="1" t="s">
        <v>59</v>
      </c>
      <c r="G19" s="1" t="s">
        <v>67</v>
      </c>
      <c r="H19" s="1" t="s">
        <v>399</v>
      </c>
      <c r="I19" s="1" t="s">
        <v>396</v>
      </c>
      <c r="J19" s="1" t="s">
        <v>26</v>
      </c>
      <c r="K19" s="1">
        <v>200</v>
      </c>
      <c r="L19" s="1">
        <v>26000</v>
      </c>
      <c r="M19" s="2">
        <f t="shared" si="1"/>
        <v>5200000</v>
      </c>
      <c r="N19" s="1">
        <v>823680</v>
      </c>
      <c r="O19" s="1">
        <f t="shared" si="2"/>
        <v>6023680</v>
      </c>
      <c r="P19" s="1">
        <v>7917</v>
      </c>
      <c r="Q19" s="1">
        <f t="shared" si="3"/>
        <v>6015763</v>
      </c>
      <c r="R19" s="1">
        <f>0.7*U19</f>
        <v>2368100</v>
      </c>
      <c r="S19" s="1">
        <f t="shared" si="4"/>
        <v>676600</v>
      </c>
      <c r="T19" s="1">
        <f t="shared" si="5"/>
        <v>338300</v>
      </c>
      <c r="U19" s="1">
        <v>3383000</v>
      </c>
      <c r="V19" s="1">
        <f t="shared" si="0"/>
        <v>2632763</v>
      </c>
      <c r="W19" s="1">
        <v>3.8</v>
      </c>
    </row>
    <row r="20" spans="1:23" x14ac:dyDescent="0.25">
      <c r="A20" s="1" t="s">
        <v>68</v>
      </c>
      <c r="B20" s="1" t="s">
        <v>69</v>
      </c>
      <c r="C20" s="1" t="s">
        <v>408</v>
      </c>
      <c r="D20" s="1" t="s">
        <v>48</v>
      </c>
      <c r="E20" s="1" t="s">
        <v>49</v>
      </c>
      <c r="F20" s="1" t="s">
        <v>24</v>
      </c>
      <c r="G20" s="1" t="s">
        <v>44</v>
      </c>
      <c r="H20" s="1" t="s">
        <v>398</v>
      </c>
      <c r="I20" s="1" t="s">
        <v>397</v>
      </c>
      <c r="J20" s="1" t="s">
        <v>46</v>
      </c>
      <c r="K20" s="1">
        <v>116</v>
      </c>
      <c r="L20" s="1">
        <v>21035</v>
      </c>
      <c r="M20" s="2">
        <f t="shared" si="1"/>
        <v>2440060</v>
      </c>
      <c r="N20" s="1">
        <v>386505.5</v>
      </c>
      <c r="O20" s="1">
        <f t="shared" si="2"/>
        <v>2826565.5</v>
      </c>
      <c r="P20" s="1">
        <v>7853</v>
      </c>
      <c r="Q20" s="1">
        <f t="shared" si="3"/>
        <v>2818712.5</v>
      </c>
      <c r="R20" s="1">
        <v>451994</v>
      </c>
      <c r="S20" s="1">
        <f t="shared" si="4"/>
        <v>361595.2</v>
      </c>
      <c r="T20" s="1">
        <f t="shared" si="5"/>
        <v>994386.8</v>
      </c>
      <c r="U20" s="1">
        <v>1807976</v>
      </c>
      <c r="V20" s="1">
        <f t="shared" si="0"/>
        <v>1010736.5</v>
      </c>
      <c r="W20" s="1">
        <v>4.4000000000000004</v>
      </c>
    </row>
    <row r="21" spans="1:23" x14ac:dyDescent="0.25">
      <c r="A21" s="1" t="s">
        <v>70</v>
      </c>
      <c r="B21" s="1" t="s">
        <v>58</v>
      </c>
      <c r="C21" s="1" t="s">
        <v>408</v>
      </c>
      <c r="D21" s="1" t="s">
        <v>15</v>
      </c>
      <c r="E21" s="1" t="s">
        <v>16</v>
      </c>
      <c r="F21" s="1" t="s">
        <v>17</v>
      </c>
      <c r="G21" s="1" t="s">
        <v>38</v>
      </c>
      <c r="H21" s="1" t="s">
        <v>399</v>
      </c>
      <c r="I21" s="1" t="s">
        <v>39</v>
      </c>
      <c r="J21" s="1" t="s">
        <v>26</v>
      </c>
      <c r="K21" s="1">
        <v>38</v>
      </c>
      <c r="L21" s="1">
        <v>5941</v>
      </c>
      <c r="M21" s="2">
        <f t="shared" si="1"/>
        <v>225758</v>
      </c>
      <c r="N21" s="1">
        <v>40636.44</v>
      </c>
      <c r="O21" s="1">
        <f t="shared" si="2"/>
        <v>266394.44</v>
      </c>
      <c r="P21" s="1">
        <v>6367</v>
      </c>
      <c r="Q21" s="1">
        <f t="shared" si="3"/>
        <v>260027.44</v>
      </c>
      <c r="R21" s="1">
        <f t="shared" ref="R21:R23" si="8">0.62*U21</f>
        <v>101661.4</v>
      </c>
      <c r="S21" s="1">
        <f t="shared" si="4"/>
        <v>32794</v>
      </c>
      <c r="T21" s="1">
        <f t="shared" si="5"/>
        <v>29514.600000000006</v>
      </c>
      <c r="U21" s="1">
        <v>163970</v>
      </c>
      <c r="V21" s="1">
        <f t="shared" si="0"/>
        <v>96057.44</v>
      </c>
      <c r="W21" s="1">
        <v>5</v>
      </c>
    </row>
    <row r="22" spans="1:23" x14ac:dyDescent="0.25">
      <c r="A22" s="1" t="s">
        <v>71</v>
      </c>
      <c r="B22" s="1" t="s">
        <v>51</v>
      </c>
      <c r="C22" s="1" t="s">
        <v>408</v>
      </c>
      <c r="D22" s="1" t="s">
        <v>62</v>
      </c>
      <c r="E22" s="1" t="s">
        <v>43</v>
      </c>
      <c r="F22" s="1" t="s">
        <v>17</v>
      </c>
      <c r="G22" s="1" t="s">
        <v>72</v>
      </c>
      <c r="H22" s="1" t="s">
        <v>399</v>
      </c>
      <c r="I22" s="1" t="s">
        <v>395</v>
      </c>
      <c r="J22" s="1" t="s">
        <v>26</v>
      </c>
      <c r="K22" s="1">
        <v>154</v>
      </c>
      <c r="L22" s="1">
        <v>34987</v>
      </c>
      <c r="M22" s="2">
        <f t="shared" si="1"/>
        <v>5387998</v>
      </c>
      <c r="N22" s="1">
        <v>892252.47</v>
      </c>
      <c r="O22" s="1">
        <f t="shared" si="2"/>
        <v>6280250.4699999997</v>
      </c>
      <c r="P22" s="1">
        <v>5305</v>
      </c>
      <c r="Q22" s="1">
        <f t="shared" si="3"/>
        <v>6274945.4699999997</v>
      </c>
      <c r="R22" s="1">
        <f t="shared" si="8"/>
        <v>2136174.04</v>
      </c>
      <c r="S22" s="1">
        <f t="shared" si="4"/>
        <v>689088.4</v>
      </c>
      <c r="T22" s="1">
        <f t="shared" si="5"/>
        <v>620179.56000000006</v>
      </c>
      <c r="U22" s="1">
        <v>3445442</v>
      </c>
      <c r="V22" s="1">
        <f t="shared" si="0"/>
        <v>2829503.4699999997</v>
      </c>
      <c r="W22" s="1">
        <v>4.0999999999999996</v>
      </c>
    </row>
    <row r="23" spans="1:23" x14ac:dyDescent="0.25">
      <c r="A23" s="1" t="s">
        <v>73</v>
      </c>
      <c r="B23" s="1" t="s">
        <v>58</v>
      </c>
      <c r="C23" s="1" t="s">
        <v>408</v>
      </c>
      <c r="D23" s="1" t="s">
        <v>74</v>
      </c>
      <c r="E23" s="1" t="s">
        <v>56</v>
      </c>
      <c r="F23" s="1" t="s">
        <v>17</v>
      </c>
      <c r="G23" s="1" t="s">
        <v>75</v>
      </c>
      <c r="H23" s="1" t="s">
        <v>399</v>
      </c>
      <c r="I23" s="1" t="s">
        <v>396</v>
      </c>
      <c r="J23" s="1" t="s">
        <v>46</v>
      </c>
      <c r="K23" s="1">
        <v>127</v>
      </c>
      <c r="L23" s="1">
        <v>20849</v>
      </c>
      <c r="M23" s="2">
        <f t="shared" si="1"/>
        <v>2647823</v>
      </c>
      <c r="N23" s="1">
        <v>419415.16</v>
      </c>
      <c r="O23" s="1">
        <f t="shared" si="2"/>
        <v>3067238.16</v>
      </c>
      <c r="P23" s="1">
        <v>5728</v>
      </c>
      <c r="Q23" s="1">
        <f t="shared" si="3"/>
        <v>3061510.16</v>
      </c>
      <c r="R23" s="1">
        <f t="shared" si="8"/>
        <v>1247871.52</v>
      </c>
      <c r="S23" s="1">
        <f t="shared" si="4"/>
        <v>402539.2</v>
      </c>
      <c r="T23" s="1">
        <f t="shared" si="5"/>
        <v>362285.28</v>
      </c>
      <c r="U23" s="1">
        <v>2012696</v>
      </c>
      <c r="V23" s="1">
        <f t="shared" si="0"/>
        <v>1048814.1600000001</v>
      </c>
      <c r="W23" s="1">
        <v>4.3</v>
      </c>
    </row>
    <row r="24" spans="1:23" x14ac:dyDescent="0.25">
      <c r="A24" s="1" t="s">
        <v>76</v>
      </c>
      <c r="B24" s="1" t="s">
        <v>77</v>
      </c>
      <c r="C24" s="1" t="s">
        <v>408</v>
      </c>
      <c r="D24" s="1" t="s">
        <v>78</v>
      </c>
      <c r="E24" s="1" t="s">
        <v>49</v>
      </c>
      <c r="F24" s="1" t="s">
        <v>24</v>
      </c>
      <c r="G24" s="1" t="s">
        <v>44</v>
      </c>
      <c r="H24" s="1" t="s">
        <v>398</v>
      </c>
      <c r="I24" s="1" t="s">
        <v>396</v>
      </c>
      <c r="J24" s="1" t="s">
        <v>26</v>
      </c>
      <c r="K24" s="1">
        <v>111</v>
      </c>
      <c r="L24" s="1">
        <v>24320</v>
      </c>
      <c r="M24" s="2">
        <f t="shared" si="1"/>
        <v>2699520</v>
      </c>
      <c r="N24" s="1">
        <v>485913.59999999998</v>
      </c>
      <c r="O24" s="1">
        <f t="shared" si="2"/>
        <v>3185433.6</v>
      </c>
      <c r="P24" s="1">
        <v>8468</v>
      </c>
      <c r="Q24" s="1">
        <f t="shared" si="3"/>
        <v>3176965.6</v>
      </c>
      <c r="R24" s="1">
        <v>866688</v>
      </c>
      <c r="S24" s="1">
        <f t="shared" si="4"/>
        <v>346675.20000000001</v>
      </c>
      <c r="T24" s="1">
        <f t="shared" si="5"/>
        <v>520012.80000000005</v>
      </c>
      <c r="U24" s="1">
        <v>1733376</v>
      </c>
      <c r="V24" s="1">
        <f t="shared" si="0"/>
        <v>1443589.6</v>
      </c>
      <c r="W24" s="1">
        <v>5</v>
      </c>
    </row>
    <row r="25" spans="1:23" x14ac:dyDescent="0.25">
      <c r="A25" s="1" t="s">
        <v>79</v>
      </c>
      <c r="B25" s="1" t="s">
        <v>32</v>
      </c>
      <c r="C25" s="1" t="s">
        <v>408</v>
      </c>
      <c r="D25" s="1" t="s">
        <v>55</v>
      </c>
      <c r="E25" s="1" t="s">
        <v>56</v>
      </c>
      <c r="F25" s="1" t="s">
        <v>24</v>
      </c>
      <c r="G25" s="1" t="s">
        <v>63</v>
      </c>
      <c r="H25" s="1" t="s">
        <v>399</v>
      </c>
      <c r="I25" s="1" t="s">
        <v>397</v>
      </c>
      <c r="J25" s="1" t="s">
        <v>26</v>
      </c>
      <c r="K25" s="1">
        <v>84</v>
      </c>
      <c r="L25" s="1">
        <v>12511</v>
      </c>
      <c r="M25" s="2">
        <f t="shared" si="1"/>
        <v>1050924</v>
      </c>
      <c r="N25" s="1">
        <v>160791.37</v>
      </c>
      <c r="O25" s="1">
        <f t="shared" si="2"/>
        <v>1211715.3700000001</v>
      </c>
      <c r="P25" s="1">
        <v>7866</v>
      </c>
      <c r="Q25" s="1">
        <f t="shared" si="3"/>
        <v>1203849.3700000001</v>
      </c>
      <c r="R25" s="1">
        <v>364182</v>
      </c>
      <c r="S25" s="1">
        <f t="shared" si="4"/>
        <v>145672.80000000002</v>
      </c>
      <c r="T25" s="1">
        <f t="shared" si="5"/>
        <v>218509.19999999995</v>
      </c>
      <c r="U25" s="1">
        <v>728364</v>
      </c>
      <c r="V25" s="1">
        <f t="shared" si="0"/>
        <v>475485.37000000011</v>
      </c>
      <c r="W25" s="1">
        <v>4.7</v>
      </c>
    </row>
    <row r="26" spans="1:23" x14ac:dyDescent="0.25">
      <c r="A26" s="1" t="s">
        <v>80</v>
      </c>
      <c r="B26" s="1" t="s">
        <v>32</v>
      </c>
      <c r="C26" s="1" t="s">
        <v>408</v>
      </c>
      <c r="D26" s="1" t="s">
        <v>62</v>
      </c>
      <c r="E26" s="1" t="s">
        <v>43</v>
      </c>
      <c r="F26" s="1" t="s">
        <v>24</v>
      </c>
      <c r="G26" s="1" t="s">
        <v>25</v>
      </c>
      <c r="H26" s="1" t="s">
        <v>399</v>
      </c>
      <c r="I26" s="1" t="s">
        <v>19</v>
      </c>
      <c r="J26" s="1" t="s">
        <v>26</v>
      </c>
      <c r="K26" s="1">
        <v>142</v>
      </c>
      <c r="L26" s="1">
        <v>18502</v>
      </c>
      <c r="M26" s="2">
        <f t="shared" si="1"/>
        <v>2627284</v>
      </c>
      <c r="N26" s="1">
        <v>416161.79</v>
      </c>
      <c r="O26" s="1">
        <f t="shared" si="2"/>
        <v>3043445.79</v>
      </c>
      <c r="P26" s="1">
        <v>6120</v>
      </c>
      <c r="Q26" s="1">
        <f t="shared" si="3"/>
        <v>3037325.79</v>
      </c>
      <c r="R26" s="1">
        <v>485072</v>
      </c>
      <c r="S26" s="1">
        <f t="shared" si="4"/>
        <v>388057.60000000003</v>
      </c>
      <c r="T26" s="1">
        <f t="shared" si="5"/>
        <v>1067158.3999999999</v>
      </c>
      <c r="U26" s="1">
        <v>1940288</v>
      </c>
      <c r="V26" s="1">
        <f t="shared" si="0"/>
        <v>1097037.79</v>
      </c>
      <c r="W26" s="1">
        <v>3.7</v>
      </c>
    </row>
    <row r="27" spans="1:23" x14ac:dyDescent="0.25">
      <c r="A27" s="1" t="s">
        <v>81</v>
      </c>
      <c r="B27" s="1" t="s">
        <v>32</v>
      </c>
      <c r="C27" s="1" t="s">
        <v>408</v>
      </c>
      <c r="D27" s="1" t="s">
        <v>78</v>
      </c>
      <c r="E27" s="1" t="s">
        <v>49</v>
      </c>
      <c r="F27" s="1" t="s">
        <v>24</v>
      </c>
      <c r="G27" s="1" t="s">
        <v>25</v>
      </c>
      <c r="H27" s="1" t="s">
        <v>399</v>
      </c>
      <c r="I27" s="1" t="s">
        <v>395</v>
      </c>
      <c r="J27" s="1" t="s">
        <v>26</v>
      </c>
      <c r="K27" s="1">
        <v>57</v>
      </c>
      <c r="L27" s="1">
        <v>29006</v>
      </c>
      <c r="M27" s="2">
        <f t="shared" si="1"/>
        <v>1653342</v>
      </c>
      <c r="N27" s="1">
        <v>297601.56</v>
      </c>
      <c r="O27" s="1">
        <f t="shared" si="2"/>
        <v>1950943.56</v>
      </c>
      <c r="P27" s="1">
        <v>6512</v>
      </c>
      <c r="Q27" s="1">
        <f t="shared" si="3"/>
        <v>1944431.56</v>
      </c>
      <c r="R27" s="1">
        <v>307928.25</v>
      </c>
      <c r="S27" s="1">
        <f t="shared" si="4"/>
        <v>246342.6</v>
      </c>
      <c r="T27" s="1">
        <f t="shared" si="5"/>
        <v>677442.15</v>
      </c>
      <c r="U27" s="1">
        <v>1231713</v>
      </c>
      <c r="V27" s="1">
        <f t="shared" si="0"/>
        <v>712718.56</v>
      </c>
      <c r="W27" s="1">
        <v>4.0999999999999996</v>
      </c>
    </row>
    <row r="28" spans="1:23" x14ac:dyDescent="0.25">
      <c r="A28" s="1" t="s">
        <v>82</v>
      </c>
      <c r="B28" s="1" t="s">
        <v>14</v>
      </c>
      <c r="C28" s="1" t="s">
        <v>408</v>
      </c>
      <c r="D28" s="1" t="s">
        <v>42</v>
      </c>
      <c r="E28" s="1" t="s">
        <v>43</v>
      </c>
      <c r="F28" s="1" t="s">
        <v>17</v>
      </c>
      <c r="G28" s="1" t="s">
        <v>75</v>
      </c>
      <c r="H28" s="1" t="s">
        <v>399</v>
      </c>
      <c r="I28" s="1" t="s">
        <v>39</v>
      </c>
      <c r="J28" s="1" t="s">
        <v>26</v>
      </c>
      <c r="K28" s="1">
        <v>189</v>
      </c>
      <c r="L28" s="1">
        <v>29784</v>
      </c>
      <c r="M28" s="2">
        <f t="shared" si="1"/>
        <v>5629176</v>
      </c>
      <c r="N28" s="1">
        <v>891661.48</v>
      </c>
      <c r="O28" s="1">
        <f t="shared" si="2"/>
        <v>6520837.4800000004</v>
      </c>
      <c r="P28" s="1">
        <v>7903</v>
      </c>
      <c r="Q28" s="1">
        <f t="shared" si="3"/>
        <v>6512934.4800000004</v>
      </c>
      <c r="R28" s="1">
        <f t="shared" ref="R28:R29" si="9">0.62*U28</f>
        <v>2744589.96</v>
      </c>
      <c r="S28" s="1">
        <f t="shared" si="4"/>
        <v>885351.60000000009</v>
      </c>
      <c r="T28" s="1">
        <f t="shared" si="5"/>
        <v>796816.44</v>
      </c>
      <c r="U28" s="1">
        <v>4426758</v>
      </c>
      <c r="V28" s="1">
        <f t="shared" si="0"/>
        <v>2086176.4800000004</v>
      </c>
      <c r="W28" s="1">
        <v>4.9000000000000004</v>
      </c>
    </row>
    <row r="29" spans="1:23" x14ac:dyDescent="0.25">
      <c r="A29" s="1" t="s">
        <v>83</v>
      </c>
      <c r="B29" s="1" t="s">
        <v>34</v>
      </c>
      <c r="C29" s="1" t="s">
        <v>408</v>
      </c>
      <c r="D29" s="1" t="s">
        <v>78</v>
      </c>
      <c r="E29" s="1" t="s">
        <v>49</v>
      </c>
      <c r="F29" s="1" t="s">
        <v>17</v>
      </c>
      <c r="G29" s="1" t="s">
        <v>75</v>
      </c>
      <c r="H29" s="1" t="s">
        <v>398</v>
      </c>
      <c r="I29" s="1" t="s">
        <v>397</v>
      </c>
      <c r="J29" s="1" t="s">
        <v>26</v>
      </c>
      <c r="K29" s="1">
        <v>37</v>
      </c>
      <c r="L29" s="1">
        <v>14618</v>
      </c>
      <c r="M29" s="2">
        <f t="shared" si="1"/>
        <v>540866</v>
      </c>
      <c r="N29" s="1">
        <v>82752.5</v>
      </c>
      <c r="O29" s="1">
        <f t="shared" si="2"/>
        <v>623618.5</v>
      </c>
      <c r="P29" s="1">
        <v>8691</v>
      </c>
      <c r="Q29" s="1">
        <f t="shared" si="3"/>
        <v>614927.5</v>
      </c>
      <c r="R29" s="1">
        <f t="shared" si="9"/>
        <v>244769.8</v>
      </c>
      <c r="S29" s="1">
        <f t="shared" si="4"/>
        <v>78958</v>
      </c>
      <c r="T29" s="1">
        <f t="shared" si="5"/>
        <v>71062.200000000012</v>
      </c>
      <c r="U29" s="1">
        <v>394790</v>
      </c>
      <c r="V29" s="1">
        <f t="shared" si="0"/>
        <v>220137.5</v>
      </c>
      <c r="W29" s="1">
        <v>4.5999999999999996</v>
      </c>
    </row>
    <row r="30" spans="1:23" x14ac:dyDescent="0.25">
      <c r="A30" s="1" t="s">
        <v>84</v>
      </c>
      <c r="B30" s="1" t="s">
        <v>14</v>
      </c>
      <c r="C30" s="1" t="s">
        <v>408</v>
      </c>
      <c r="D30" s="1" t="s">
        <v>62</v>
      </c>
      <c r="E30" s="1" t="s">
        <v>43</v>
      </c>
      <c r="F30" s="1" t="s">
        <v>59</v>
      </c>
      <c r="G30" s="1" t="s">
        <v>85</v>
      </c>
      <c r="H30" s="1" t="s">
        <v>399</v>
      </c>
      <c r="I30" s="1" t="s">
        <v>39</v>
      </c>
      <c r="J30" s="1" t="s">
        <v>26</v>
      </c>
      <c r="K30" s="1">
        <v>145</v>
      </c>
      <c r="L30" s="1">
        <v>1987</v>
      </c>
      <c r="M30" s="2">
        <f t="shared" si="1"/>
        <v>288115</v>
      </c>
      <c r="N30" s="1">
        <v>51860.7</v>
      </c>
      <c r="O30" s="1">
        <f t="shared" si="2"/>
        <v>339975.7</v>
      </c>
      <c r="P30" s="1">
        <v>6873</v>
      </c>
      <c r="Q30" s="1">
        <f t="shared" si="3"/>
        <v>333102.7</v>
      </c>
      <c r="R30" s="1">
        <f>0.7*U30</f>
        <v>146363</v>
      </c>
      <c r="S30" s="1">
        <f t="shared" si="4"/>
        <v>41818</v>
      </c>
      <c r="T30" s="1">
        <f t="shared" si="5"/>
        <v>20909</v>
      </c>
      <c r="U30" s="1">
        <v>209090</v>
      </c>
      <c r="V30" s="1">
        <f t="shared" si="0"/>
        <v>124012.70000000001</v>
      </c>
      <c r="W30" s="1">
        <v>5</v>
      </c>
    </row>
    <row r="31" spans="1:23" x14ac:dyDescent="0.25">
      <c r="A31" s="1" t="s">
        <v>86</v>
      </c>
      <c r="B31" s="1" t="s">
        <v>51</v>
      </c>
      <c r="C31" s="1" t="s">
        <v>408</v>
      </c>
      <c r="D31" s="1" t="s">
        <v>74</v>
      </c>
      <c r="E31" s="1" t="s">
        <v>56</v>
      </c>
      <c r="F31" s="1" t="s">
        <v>29</v>
      </c>
      <c r="G31" s="1" t="s">
        <v>87</v>
      </c>
      <c r="H31" s="1" t="s">
        <v>399</v>
      </c>
      <c r="I31" s="1" t="s">
        <v>397</v>
      </c>
      <c r="J31" s="1" t="s">
        <v>26</v>
      </c>
      <c r="K31" s="1">
        <v>47</v>
      </c>
      <c r="L31" s="1">
        <v>12551</v>
      </c>
      <c r="M31" s="2">
        <f t="shared" si="1"/>
        <v>589897</v>
      </c>
      <c r="N31" s="1">
        <v>90254.24</v>
      </c>
      <c r="O31" s="1">
        <f t="shared" si="2"/>
        <v>680151.24</v>
      </c>
      <c r="P31" s="1">
        <v>6330</v>
      </c>
      <c r="Q31" s="1">
        <f t="shared" si="3"/>
        <v>673821.24</v>
      </c>
      <c r="R31" s="1">
        <v>303255.75</v>
      </c>
      <c r="S31" s="1">
        <f>U31*0.1</f>
        <v>40434.100000000006</v>
      </c>
      <c r="T31" s="1">
        <f t="shared" si="5"/>
        <v>60651.150000000023</v>
      </c>
      <c r="U31" s="1">
        <v>404341</v>
      </c>
      <c r="V31" s="1">
        <f t="shared" si="0"/>
        <v>269480.24</v>
      </c>
      <c r="W31" s="1">
        <v>4.5999999999999996</v>
      </c>
    </row>
    <row r="32" spans="1:23" x14ac:dyDescent="0.25">
      <c r="A32" s="1" t="s">
        <v>88</v>
      </c>
      <c r="B32" s="1" t="s">
        <v>21</v>
      </c>
      <c r="C32" s="1" t="s">
        <v>408</v>
      </c>
      <c r="D32" s="1" t="s">
        <v>62</v>
      </c>
      <c r="E32" s="1" t="s">
        <v>43</v>
      </c>
      <c r="F32" s="1" t="s">
        <v>59</v>
      </c>
      <c r="G32" s="1" t="s">
        <v>85</v>
      </c>
      <c r="H32" s="1" t="s">
        <v>399</v>
      </c>
      <c r="I32" s="1" t="s">
        <v>395</v>
      </c>
      <c r="J32" s="1" t="s">
        <v>26</v>
      </c>
      <c r="K32" s="1">
        <v>11</v>
      </c>
      <c r="L32" s="1">
        <v>18880</v>
      </c>
      <c r="M32" s="2">
        <f t="shared" si="1"/>
        <v>207680</v>
      </c>
      <c r="N32" s="1">
        <v>31775.040000000001</v>
      </c>
      <c r="O32" s="1">
        <f t="shared" si="2"/>
        <v>239455.04</v>
      </c>
      <c r="P32" s="1">
        <v>7898</v>
      </c>
      <c r="Q32" s="1">
        <f t="shared" si="3"/>
        <v>231557.04</v>
      </c>
      <c r="R32" s="1">
        <f>0.7*U32</f>
        <v>118834.09999999999</v>
      </c>
      <c r="S32" s="1">
        <f t="shared" si="4"/>
        <v>33952.6</v>
      </c>
      <c r="T32" s="1">
        <f t="shared" si="5"/>
        <v>16976.300000000003</v>
      </c>
      <c r="U32" s="1">
        <v>169763</v>
      </c>
      <c r="V32" s="1">
        <f t="shared" si="0"/>
        <v>61794.040000000008</v>
      </c>
      <c r="W32" s="1">
        <v>3.9</v>
      </c>
    </row>
    <row r="33" spans="1:23" x14ac:dyDescent="0.25">
      <c r="A33" s="1" t="s">
        <v>89</v>
      </c>
      <c r="B33" s="1" t="s">
        <v>14</v>
      </c>
      <c r="C33" s="1" t="s">
        <v>408</v>
      </c>
      <c r="D33" s="1" t="s">
        <v>22</v>
      </c>
      <c r="E33" s="1" t="s">
        <v>23</v>
      </c>
      <c r="F33" s="1" t="s">
        <v>17</v>
      </c>
      <c r="G33" s="1" t="s">
        <v>18</v>
      </c>
      <c r="H33" s="1" t="s">
        <v>399</v>
      </c>
      <c r="I33" s="1" t="s">
        <v>395</v>
      </c>
      <c r="J33" s="1" t="s">
        <v>46</v>
      </c>
      <c r="K33" s="1">
        <v>108</v>
      </c>
      <c r="L33" s="1">
        <v>22997</v>
      </c>
      <c r="M33" s="2">
        <f t="shared" si="1"/>
        <v>2483676</v>
      </c>
      <c r="N33" s="1">
        <v>424708.6</v>
      </c>
      <c r="O33" s="1">
        <f t="shared" si="2"/>
        <v>2908384.6</v>
      </c>
      <c r="P33" s="1">
        <v>5864</v>
      </c>
      <c r="Q33" s="1">
        <f t="shared" si="3"/>
        <v>2902520.6</v>
      </c>
      <c r="R33" s="1">
        <f>0.62*U33</f>
        <v>1049263.2</v>
      </c>
      <c r="S33" s="1">
        <f>U33*0.2</f>
        <v>338472</v>
      </c>
      <c r="T33" s="1">
        <f t="shared" si="5"/>
        <v>304624.80000000005</v>
      </c>
      <c r="U33" s="1">
        <v>1692360</v>
      </c>
      <c r="V33" s="1">
        <f t="shared" si="0"/>
        <v>1210160.6000000001</v>
      </c>
      <c r="W33" s="1">
        <v>4</v>
      </c>
    </row>
    <row r="34" spans="1:23" x14ac:dyDescent="0.25">
      <c r="A34" s="1" t="s">
        <v>90</v>
      </c>
      <c r="B34" s="1" t="s">
        <v>69</v>
      </c>
      <c r="C34" s="1" t="s">
        <v>408</v>
      </c>
      <c r="D34" s="1" t="s">
        <v>48</v>
      </c>
      <c r="E34" s="1" t="s">
        <v>49</v>
      </c>
      <c r="F34" s="1" t="s">
        <v>29</v>
      </c>
      <c r="G34" s="1" t="s">
        <v>91</v>
      </c>
      <c r="H34" s="1" t="s">
        <v>398</v>
      </c>
      <c r="I34" s="1" t="s">
        <v>396</v>
      </c>
      <c r="J34" s="1" t="s">
        <v>46</v>
      </c>
      <c r="K34" s="1">
        <v>68</v>
      </c>
      <c r="L34" s="1">
        <v>3220</v>
      </c>
      <c r="M34" s="2">
        <f t="shared" si="1"/>
        <v>218960</v>
      </c>
      <c r="N34" s="1">
        <v>36259.78</v>
      </c>
      <c r="O34" s="1">
        <f t="shared" si="2"/>
        <v>255219.78</v>
      </c>
      <c r="P34" s="1">
        <v>5599</v>
      </c>
      <c r="Q34" s="1">
        <f t="shared" si="3"/>
        <v>249620.78</v>
      </c>
      <c r="R34" s="1">
        <v>43656</v>
      </c>
      <c r="S34" s="1">
        <f>U34*0.1</f>
        <v>17462.400000000001</v>
      </c>
      <c r="T34" s="1">
        <f t="shared" si="5"/>
        <v>113505.60000000001</v>
      </c>
      <c r="U34" s="1">
        <v>174624</v>
      </c>
      <c r="V34" s="1">
        <f t="shared" si="0"/>
        <v>74996.78</v>
      </c>
      <c r="W34" s="1">
        <v>4.7</v>
      </c>
    </row>
    <row r="35" spans="1:23" x14ac:dyDescent="0.25">
      <c r="A35" s="1" t="s">
        <v>92</v>
      </c>
      <c r="B35" s="1" t="s">
        <v>37</v>
      </c>
      <c r="C35" s="1" t="s">
        <v>408</v>
      </c>
      <c r="D35" s="1" t="s">
        <v>74</v>
      </c>
      <c r="E35" s="1" t="s">
        <v>56</v>
      </c>
      <c r="F35" s="1" t="s">
        <v>17</v>
      </c>
      <c r="G35" s="1" t="s">
        <v>35</v>
      </c>
      <c r="H35" s="1" t="s">
        <v>398</v>
      </c>
      <c r="I35" s="1" t="s">
        <v>39</v>
      </c>
      <c r="J35" s="1" t="s">
        <v>26</v>
      </c>
      <c r="K35" s="1">
        <v>56</v>
      </c>
      <c r="L35" s="1">
        <v>28760</v>
      </c>
      <c r="M35" s="2">
        <f t="shared" si="1"/>
        <v>1610560</v>
      </c>
      <c r="N35" s="1">
        <v>275405.76</v>
      </c>
      <c r="O35" s="1">
        <f t="shared" si="2"/>
        <v>1885965.76</v>
      </c>
      <c r="P35" s="1">
        <v>6516</v>
      </c>
      <c r="Q35" s="1">
        <f t="shared" si="3"/>
        <v>1879449.76</v>
      </c>
      <c r="R35" s="1">
        <f t="shared" ref="R35:R38" si="10">0.62*U35</f>
        <v>797969.76</v>
      </c>
      <c r="S35" s="1">
        <f t="shared" ref="S35:S38" si="11">U35*0.2</f>
        <v>257409.6</v>
      </c>
      <c r="T35" s="1">
        <f t="shared" si="5"/>
        <v>231668.64</v>
      </c>
      <c r="U35" s="1">
        <v>1287048</v>
      </c>
      <c r="V35" s="1">
        <f t="shared" si="0"/>
        <v>592401.76</v>
      </c>
      <c r="W35" s="1">
        <v>3.6</v>
      </c>
    </row>
    <row r="36" spans="1:23" x14ac:dyDescent="0.25">
      <c r="A36" s="1" t="s">
        <v>93</v>
      </c>
      <c r="B36" s="1" t="s">
        <v>41</v>
      </c>
      <c r="C36" s="1" t="s">
        <v>408</v>
      </c>
      <c r="D36" s="1" t="s">
        <v>42</v>
      </c>
      <c r="E36" s="1" t="s">
        <v>43</v>
      </c>
      <c r="F36" s="1" t="s">
        <v>17</v>
      </c>
      <c r="G36" s="1" t="s">
        <v>38</v>
      </c>
      <c r="H36" s="1" t="s">
        <v>398</v>
      </c>
      <c r="I36" s="1" t="s">
        <v>39</v>
      </c>
      <c r="J36" s="1" t="s">
        <v>26</v>
      </c>
      <c r="K36" s="1">
        <v>51</v>
      </c>
      <c r="L36" s="1">
        <v>19927</v>
      </c>
      <c r="M36" s="2">
        <f t="shared" si="1"/>
        <v>1016277</v>
      </c>
      <c r="N36" s="1">
        <v>173783.37</v>
      </c>
      <c r="O36" s="1">
        <f t="shared" si="2"/>
        <v>1190060.3700000001</v>
      </c>
      <c r="P36" s="1">
        <v>8970</v>
      </c>
      <c r="Q36" s="1">
        <f t="shared" si="3"/>
        <v>1181090.3700000001</v>
      </c>
      <c r="R36" s="1">
        <f t="shared" si="10"/>
        <v>453209.46</v>
      </c>
      <c r="S36" s="1">
        <f t="shared" si="11"/>
        <v>146196.6</v>
      </c>
      <c r="T36" s="1">
        <f t="shared" si="5"/>
        <v>131576.94</v>
      </c>
      <c r="U36" s="1">
        <v>730983</v>
      </c>
      <c r="V36" s="1">
        <f t="shared" si="0"/>
        <v>450107.37000000011</v>
      </c>
      <c r="W36" s="1">
        <v>4.2</v>
      </c>
    </row>
    <row r="37" spans="1:23" x14ac:dyDescent="0.25">
      <c r="A37" s="1" t="s">
        <v>94</v>
      </c>
      <c r="B37" s="1" t="s">
        <v>41</v>
      </c>
      <c r="C37" s="1" t="s">
        <v>408</v>
      </c>
      <c r="D37" s="1" t="s">
        <v>42</v>
      </c>
      <c r="E37" s="1" t="s">
        <v>43</v>
      </c>
      <c r="F37" s="1" t="s">
        <v>17</v>
      </c>
      <c r="G37" s="1" t="s">
        <v>35</v>
      </c>
      <c r="H37" s="1" t="s">
        <v>398</v>
      </c>
      <c r="I37" s="1" t="s">
        <v>395</v>
      </c>
      <c r="J37" s="1" t="s">
        <v>46</v>
      </c>
      <c r="K37" s="1">
        <v>64</v>
      </c>
      <c r="L37" s="1">
        <v>1033</v>
      </c>
      <c r="M37" s="2">
        <f t="shared" si="1"/>
        <v>66112</v>
      </c>
      <c r="N37" s="1">
        <v>10115.14</v>
      </c>
      <c r="O37" s="1">
        <f t="shared" si="2"/>
        <v>76227.14</v>
      </c>
      <c r="P37" s="1">
        <v>9112</v>
      </c>
      <c r="Q37" s="1">
        <f t="shared" si="3"/>
        <v>67115.14</v>
      </c>
      <c r="R37" s="1">
        <f t="shared" si="10"/>
        <v>33529.599999999999</v>
      </c>
      <c r="S37" s="1">
        <f t="shared" si="11"/>
        <v>10816</v>
      </c>
      <c r="T37" s="1">
        <f t="shared" si="5"/>
        <v>9734.4000000000015</v>
      </c>
      <c r="U37" s="1">
        <v>54080</v>
      </c>
      <c r="V37" s="1">
        <f t="shared" si="0"/>
        <v>13035.14</v>
      </c>
      <c r="W37" s="1">
        <v>4.2</v>
      </c>
    </row>
    <row r="38" spans="1:23" x14ac:dyDescent="0.25">
      <c r="A38" s="1" t="s">
        <v>64</v>
      </c>
      <c r="B38" s="1" t="s">
        <v>32</v>
      </c>
      <c r="C38" s="1" t="s">
        <v>408</v>
      </c>
      <c r="D38" s="1" t="s">
        <v>22</v>
      </c>
      <c r="E38" s="1" t="s">
        <v>23</v>
      </c>
      <c r="F38" s="1" t="s">
        <v>17</v>
      </c>
      <c r="G38" s="1" t="s">
        <v>35</v>
      </c>
      <c r="H38" s="1" t="s">
        <v>398</v>
      </c>
      <c r="I38" s="1" t="s">
        <v>39</v>
      </c>
      <c r="J38" s="1" t="s">
        <v>46</v>
      </c>
      <c r="K38" s="1">
        <v>194</v>
      </c>
      <c r="L38" s="1">
        <v>17647</v>
      </c>
      <c r="M38" s="2">
        <f t="shared" si="1"/>
        <v>3423518</v>
      </c>
      <c r="N38" s="1">
        <v>566934.57999999996</v>
      </c>
      <c r="O38" s="1">
        <f t="shared" si="2"/>
        <v>3990452.58</v>
      </c>
      <c r="P38" s="1">
        <v>5918</v>
      </c>
      <c r="Q38" s="1">
        <f t="shared" si="3"/>
        <v>3984534.58</v>
      </c>
      <c r="R38" s="1">
        <f t="shared" si="10"/>
        <v>1416898.4</v>
      </c>
      <c r="S38" s="1">
        <f t="shared" si="11"/>
        <v>457064</v>
      </c>
      <c r="T38" s="1">
        <f t="shared" si="5"/>
        <v>411357.60000000009</v>
      </c>
      <c r="U38" s="1">
        <v>2285320</v>
      </c>
      <c r="V38" s="1">
        <f t="shared" si="0"/>
        <v>1699214.58</v>
      </c>
      <c r="W38" s="1">
        <v>4.8</v>
      </c>
    </row>
    <row r="39" spans="1:23" x14ac:dyDescent="0.25">
      <c r="A39" s="1" t="s">
        <v>95</v>
      </c>
      <c r="B39" s="1" t="s">
        <v>14</v>
      </c>
      <c r="C39" s="1" t="s">
        <v>408</v>
      </c>
      <c r="D39" s="1" t="s">
        <v>55</v>
      </c>
      <c r="E39" s="1" t="s">
        <v>56</v>
      </c>
      <c r="F39" s="1" t="s">
        <v>59</v>
      </c>
      <c r="G39" s="1" t="s">
        <v>67</v>
      </c>
      <c r="H39" s="1" t="s">
        <v>398</v>
      </c>
      <c r="I39" s="1" t="s">
        <v>397</v>
      </c>
      <c r="J39" s="1" t="s">
        <v>26</v>
      </c>
      <c r="K39" s="1">
        <v>36</v>
      </c>
      <c r="L39" s="1">
        <v>2560</v>
      </c>
      <c r="M39" s="2">
        <f t="shared" si="1"/>
        <v>92160</v>
      </c>
      <c r="N39" s="1">
        <v>14100.48</v>
      </c>
      <c r="O39" s="1">
        <f t="shared" si="2"/>
        <v>106260.48</v>
      </c>
      <c r="P39" s="1">
        <v>9205</v>
      </c>
      <c r="Q39" s="1">
        <f t="shared" si="3"/>
        <v>97055.48</v>
      </c>
      <c r="R39" s="1">
        <f>0.7*U39</f>
        <v>51836.399999999994</v>
      </c>
      <c r="S39" s="1">
        <f t="shared" si="4"/>
        <v>14810.400000000001</v>
      </c>
      <c r="T39" s="1">
        <f t="shared" si="5"/>
        <v>7405.2000000000044</v>
      </c>
      <c r="U39" s="1">
        <v>74052</v>
      </c>
      <c r="V39" s="1">
        <f t="shared" si="0"/>
        <v>23003.479999999996</v>
      </c>
      <c r="W39" s="1">
        <v>4.2</v>
      </c>
    </row>
    <row r="40" spans="1:23" x14ac:dyDescent="0.25">
      <c r="A40" s="1" t="s">
        <v>96</v>
      </c>
      <c r="B40" s="1" t="s">
        <v>34</v>
      </c>
      <c r="C40" s="1" t="s">
        <v>408</v>
      </c>
      <c r="D40" s="1" t="s">
        <v>42</v>
      </c>
      <c r="E40" s="1" t="s">
        <v>43</v>
      </c>
      <c r="F40" s="1" t="s">
        <v>29</v>
      </c>
      <c r="G40" s="1" t="s">
        <v>97</v>
      </c>
      <c r="H40" s="1" t="s">
        <v>398</v>
      </c>
      <c r="I40" s="1" t="s">
        <v>19</v>
      </c>
      <c r="J40" s="1" t="s">
        <v>46</v>
      </c>
      <c r="K40" s="1">
        <v>173</v>
      </c>
      <c r="L40" s="1">
        <v>8102</v>
      </c>
      <c r="M40" s="2">
        <f t="shared" si="1"/>
        <v>1401646</v>
      </c>
      <c r="N40" s="1">
        <v>222020.73</v>
      </c>
      <c r="O40" s="1">
        <f t="shared" si="2"/>
        <v>1623666.73</v>
      </c>
      <c r="P40" s="1">
        <v>9863</v>
      </c>
      <c r="Q40" s="1">
        <f t="shared" si="3"/>
        <v>1613803.73</v>
      </c>
      <c r="R40" s="1">
        <v>726729.75</v>
      </c>
      <c r="S40" s="1">
        <f>U40*0.1</f>
        <v>96897.3</v>
      </c>
      <c r="T40" s="1">
        <f t="shared" si="5"/>
        <v>145345.94999999995</v>
      </c>
      <c r="U40" s="1">
        <v>968973</v>
      </c>
      <c r="V40" s="1">
        <f t="shared" si="0"/>
        <v>644830.73</v>
      </c>
      <c r="W40" s="1">
        <v>4.9000000000000004</v>
      </c>
    </row>
    <row r="41" spans="1:23" x14ac:dyDescent="0.25">
      <c r="A41" s="1" t="s">
        <v>98</v>
      </c>
      <c r="B41" s="1" t="s">
        <v>77</v>
      </c>
      <c r="C41" s="1" t="s">
        <v>408</v>
      </c>
      <c r="D41" s="1" t="s">
        <v>55</v>
      </c>
      <c r="E41" s="1" t="s">
        <v>56</v>
      </c>
      <c r="F41" s="1" t="s">
        <v>59</v>
      </c>
      <c r="G41" s="1" t="s">
        <v>60</v>
      </c>
      <c r="H41" s="1" t="s">
        <v>398</v>
      </c>
      <c r="I41" s="1" t="s">
        <v>397</v>
      </c>
      <c r="J41" s="1" t="s">
        <v>26</v>
      </c>
      <c r="K41" s="1">
        <v>132</v>
      </c>
      <c r="L41" s="1">
        <v>9935</v>
      </c>
      <c r="M41" s="2">
        <f t="shared" si="1"/>
        <v>1311420</v>
      </c>
      <c r="N41" s="1">
        <v>207728.93</v>
      </c>
      <c r="O41" s="1">
        <f t="shared" si="2"/>
        <v>1519148.93</v>
      </c>
      <c r="P41" s="1">
        <v>6333</v>
      </c>
      <c r="Q41" s="1">
        <f t="shared" si="3"/>
        <v>1512815.93</v>
      </c>
      <c r="R41" s="1">
        <f>0.7*U41</f>
        <v>581103.6</v>
      </c>
      <c r="S41" s="1">
        <f t="shared" si="4"/>
        <v>166029.6</v>
      </c>
      <c r="T41" s="1">
        <f t="shared" si="5"/>
        <v>83014.800000000047</v>
      </c>
      <c r="U41" s="1">
        <v>830148</v>
      </c>
      <c r="V41" s="1">
        <f t="shared" si="0"/>
        <v>682667.92999999993</v>
      </c>
      <c r="W41" s="1">
        <v>4.5</v>
      </c>
    </row>
    <row r="42" spans="1:23" x14ac:dyDescent="0.25">
      <c r="A42" s="1" t="s">
        <v>99</v>
      </c>
      <c r="B42" s="1" t="s">
        <v>69</v>
      </c>
      <c r="C42" s="1" t="s">
        <v>408</v>
      </c>
      <c r="D42" s="1" t="s">
        <v>74</v>
      </c>
      <c r="E42" s="1" t="s">
        <v>56</v>
      </c>
      <c r="F42" s="1" t="s">
        <v>29</v>
      </c>
      <c r="G42" s="1" t="s">
        <v>87</v>
      </c>
      <c r="H42" s="1" t="s">
        <v>398</v>
      </c>
      <c r="I42" s="1" t="s">
        <v>39</v>
      </c>
      <c r="J42" s="1" t="s">
        <v>46</v>
      </c>
      <c r="K42" s="1">
        <v>105</v>
      </c>
      <c r="L42" s="1">
        <v>34819</v>
      </c>
      <c r="M42" s="2">
        <f t="shared" si="1"/>
        <v>3655995</v>
      </c>
      <c r="N42" s="1">
        <v>625175.15</v>
      </c>
      <c r="O42" s="1">
        <f t="shared" si="2"/>
        <v>4281170.1500000004</v>
      </c>
      <c r="P42" s="1">
        <v>7234</v>
      </c>
      <c r="Q42" s="1">
        <f t="shared" si="3"/>
        <v>4273936.1500000004</v>
      </c>
      <c r="R42" s="1">
        <v>1223302.5</v>
      </c>
      <c r="S42" s="1">
        <f>U42*0.1</f>
        <v>244660.5</v>
      </c>
      <c r="T42" s="1">
        <f t="shared" si="5"/>
        <v>978642</v>
      </c>
      <c r="U42" s="1">
        <v>2446605</v>
      </c>
      <c r="V42" s="1">
        <f t="shared" si="0"/>
        <v>1827331.1500000004</v>
      </c>
      <c r="W42" s="1">
        <v>4.0999999999999996</v>
      </c>
    </row>
    <row r="43" spans="1:23" x14ac:dyDescent="0.25">
      <c r="A43" s="1" t="s">
        <v>100</v>
      </c>
      <c r="B43" s="1" t="s">
        <v>21</v>
      </c>
      <c r="C43" s="1" t="s">
        <v>408</v>
      </c>
      <c r="D43" s="1" t="s">
        <v>48</v>
      </c>
      <c r="E43" s="1" t="s">
        <v>49</v>
      </c>
      <c r="F43" s="1" t="s">
        <v>24</v>
      </c>
      <c r="G43" s="1" t="s">
        <v>25</v>
      </c>
      <c r="H43" s="1" t="s">
        <v>399</v>
      </c>
      <c r="I43" s="1" t="s">
        <v>396</v>
      </c>
      <c r="J43" s="1" t="s">
        <v>46</v>
      </c>
      <c r="K43" s="1">
        <v>77</v>
      </c>
      <c r="L43" s="1">
        <v>2277</v>
      </c>
      <c r="M43" s="2">
        <f t="shared" si="1"/>
        <v>175329</v>
      </c>
      <c r="N43" s="1">
        <v>27772.11</v>
      </c>
      <c r="O43" s="1">
        <f t="shared" si="2"/>
        <v>203101.11</v>
      </c>
      <c r="P43" s="1">
        <v>7777</v>
      </c>
      <c r="Q43" s="1">
        <f t="shared" si="3"/>
        <v>195324.11</v>
      </c>
      <c r="R43" s="1">
        <v>101409</v>
      </c>
      <c r="S43" s="1">
        <f t="shared" si="4"/>
        <v>27042.400000000001</v>
      </c>
      <c r="T43" s="1">
        <f t="shared" si="5"/>
        <v>6760.6000000000058</v>
      </c>
      <c r="U43" s="1">
        <v>135212</v>
      </c>
      <c r="V43" s="1">
        <f t="shared" si="0"/>
        <v>60112.109999999986</v>
      </c>
      <c r="W43" s="1">
        <v>3.9</v>
      </c>
    </row>
    <row r="44" spans="1:23" x14ac:dyDescent="0.25">
      <c r="A44" s="1" t="s">
        <v>101</v>
      </c>
      <c r="B44" s="1" t="s">
        <v>51</v>
      </c>
      <c r="C44" s="1" t="s">
        <v>408</v>
      </c>
      <c r="D44" s="1" t="s">
        <v>52</v>
      </c>
      <c r="E44" s="1" t="s">
        <v>23</v>
      </c>
      <c r="F44" s="1" t="s">
        <v>17</v>
      </c>
      <c r="G44" s="1" t="s">
        <v>75</v>
      </c>
      <c r="H44" s="1" t="s">
        <v>398</v>
      </c>
      <c r="I44" s="1" t="s">
        <v>19</v>
      </c>
      <c r="J44" s="1" t="s">
        <v>46</v>
      </c>
      <c r="K44" s="1">
        <v>21</v>
      </c>
      <c r="L44" s="1">
        <v>10322</v>
      </c>
      <c r="M44" s="2">
        <f t="shared" si="1"/>
        <v>216762</v>
      </c>
      <c r="N44" s="1">
        <v>39017.160000000003</v>
      </c>
      <c r="O44" s="1">
        <f t="shared" si="2"/>
        <v>255779.16</v>
      </c>
      <c r="P44" s="1">
        <v>5209</v>
      </c>
      <c r="Q44" s="1">
        <f t="shared" si="3"/>
        <v>250570.16</v>
      </c>
      <c r="R44" s="1">
        <f>0.62*U44</f>
        <v>93119.039999999994</v>
      </c>
      <c r="S44" s="1">
        <f>U44*0.2</f>
        <v>30038.400000000001</v>
      </c>
      <c r="T44" s="1">
        <f t="shared" si="5"/>
        <v>27034.560000000012</v>
      </c>
      <c r="U44" s="1">
        <v>150192</v>
      </c>
      <c r="V44" s="1">
        <f t="shared" si="0"/>
        <v>100378.16</v>
      </c>
      <c r="W44" s="1">
        <v>4</v>
      </c>
    </row>
    <row r="45" spans="1:23" x14ac:dyDescent="0.25">
      <c r="A45" s="1" t="s">
        <v>102</v>
      </c>
      <c r="B45" s="1" t="s">
        <v>77</v>
      </c>
      <c r="C45" s="1" t="s">
        <v>408</v>
      </c>
      <c r="D45" s="1" t="s">
        <v>55</v>
      </c>
      <c r="E45" s="1" t="s">
        <v>56</v>
      </c>
      <c r="F45" s="1" t="s">
        <v>59</v>
      </c>
      <c r="G45" s="1" t="s">
        <v>103</v>
      </c>
      <c r="H45" s="1" t="s">
        <v>398</v>
      </c>
      <c r="I45" s="1" t="s">
        <v>396</v>
      </c>
      <c r="J45" s="1" t="s">
        <v>46</v>
      </c>
      <c r="K45" s="1">
        <v>199</v>
      </c>
      <c r="L45" s="1">
        <v>18372</v>
      </c>
      <c r="M45" s="2">
        <f t="shared" si="1"/>
        <v>3656028</v>
      </c>
      <c r="N45" s="1">
        <v>658085.04</v>
      </c>
      <c r="O45" s="1">
        <f t="shared" si="2"/>
        <v>4314113.04</v>
      </c>
      <c r="P45" s="1">
        <v>6895</v>
      </c>
      <c r="Q45" s="1">
        <f t="shared" si="3"/>
        <v>4307218.04</v>
      </c>
      <c r="R45" s="1">
        <f t="shared" ref="R45:R47" si="12">0.7*U45</f>
        <v>1976527.7</v>
      </c>
      <c r="S45" s="1">
        <f t="shared" si="4"/>
        <v>564722.20000000007</v>
      </c>
      <c r="T45" s="1">
        <f t="shared" si="5"/>
        <v>282361.09999999986</v>
      </c>
      <c r="U45" s="1">
        <v>2823611</v>
      </c>
      <c r="V45" s="1">
        <f t="shared" si="0"/>
        <v>1483607.04</v>
      </c>
      <c r="W45" s="1">
        <v>4.2</v>
      </c>
    </row>
    <row r="46" spans="1:23" x14ac:dyDescent="0.25">
      <c r="A46" s="1" t="s">
        <v>104</v>
      </c>
      <c r="B46" s="1" t="s">
        <v>32</v>
      </c>
      <c r="C46" s="1" t="s">
        <v>408</v>
      </c>
      <c r="D46" s="1" t="s">
        <v>62</v>
      </c>
      <c r="E46" s="1" t="s">
        <v>43</v>
      </c>
      <c r="F46" s="1" t="s">
        <v>59</v>
      </c>
      <c r="G46" s="1" t="s">
        <v>67</v>
      </c>
      <c r="H46" s="1" t="s">
        <v>399</v>
      </c>
      <c r="I46" s="1" t="s">
        <v>19</v>
      </c>
      <c r="J46" s="1" t="s">
        <v>46</v>
      </c>
      <c r="K46" s="1">
        <v>133</v>
      </c>
      <c r="L46" s="1">
        <v>23171</v>
      </c>
      <c r="M46" s="2">
        <f t="shared" si="1"/>
        <v>3081743</v>
      </c>
      <c r="N46" s="1">
        <v>554713.74</v>
      </c>
      <c r="O46" s="1">
        <f t="shared" si="2"/>
        <v>3636456.74</v>
      </c>
      <c r="P46" s="1">
        <v>7603</v>
      </c>
      <c r="Q46" s="1">
        <f t="shared" si="3"/>
        <v>3628853.74</v>
      </c>
      <c r="R46" s="1">
        <f t="shared" si="12"/>
        <v>1776813.5</v>
      </c>
      <c r="S46" s="1">
        <f t="shared" si="4"/>
        <v>507661</v>
      </c>
      <c r="T46" s="1">
        <f t="shared" si="5"/>
        <v>253830.5</v>
      </c>
      <c r="U46" s="1">
        <v>2538305</v>
      </c>
      <c r="V46" s="1">
        <f t="shared" si="0"/>
        <v>1090548.7400000002</v>
      </c>
      <c r="W46" s="1">
        <v>4.7</v>
      </c>
    </row>
    <row r="47" spans="1:23" x14ac:dyDescent="0.25">
      <c r="A47" s="1" t="s">
        <v>66</v>
      </c>
      <c r="B47" s="1" t="s">
        <v>51</v>
      </c>
      <c r="C47" s="1" t="s">
        <v>408</v>
      </c>
      <c r="D47" s="1" t="s">
        <v>52</v>
      </c>
      <c r="E47" s="1" t="s">
        <v>23</v>
      </c>
      <c r="F47" s="1" t="s">
        <v>59</v>
      </c>
      <c r="G47" s="1" t="s">
        <v>60</v>
      </c>
      <c r="H47" s="1" t="s">
        <v>399</v>
      </c>
      <c r="I47" s="1" t="s">
        <v>396</v>
      </c>
      <c r="J47" s="1" t="s">
        <v>26</v>
      </c>
      <c r="K47" s="1">
        <v>60</v>
      </c>
      <c r="L47" s="1">
        <v>19433</v>
      </c>
      <c r="M47" s="2">
        <f t="shared" si="1"/>
        <v>1165980</v>
      </c>
      <c r="N47" s="1">
        <v>184691.23</v>
      </c>
      <c r="O47" s="1">
        <f t="shared" si="2"/>
        <v>1350671.23</v>
      </c>
      <c r="P47" s="1">
        <v>8522</v>
      </c>
      <c r="Q47" s="1">
        <f t="shared" si="3"/>
        <v>1342149.23</v>
      </c>
      <c r="R47" s="1">
        <f t="shared" si="12"/>
        <v>624456</v>
      </c>
      <c r="S47" s="1">
        <f t="shared" si="4"/>
        <v>178416</v>
      </c>
      <c r="T47" s="1">
        <f t="shared" si="5"/>
        <v>89208</v>
      </c>
      <c r="U47" s="1">
        <v>892080</v>
      </c>
      <c r="V47" s="1">
        <f t="shared" si="0"/>
        <v>450069.23</v>
      </c>
      <c r="W47" s="1">
        <v>4</v>
      </c>
    </row>
    <row r="48" spans="1:23" x14ac:dyDescent="0.25">
      <c r="A48" s="1" t="s">
        <v>105</v>
      </c>
      <c r="B48" s="1" t="s">
        <v>28</v>
      </c>
      <c r="C48" s="1" t="s">
        <v>408</v>
      </c>
      <c r="D48" s="1" t="s">
        <v>52</v>
      </c>
      <c r="E48" s="1" t="s">
        <v>23</v>
      </c>
      <c r="F48" s="1" t="s">
        <v>24</v>
      </c>
      <c r="G48" s="1" t="s">
        <v>25</v>
      </c>
      <c r="H48" s="1" t="s">
        <v>399</v>
      </c>
      <c r="I48" s="1" t="s">
        <v>395</v>
      </c>
      <c r="J48" s="1" t="s">
        <v>26</v>
      </c>
      <c r="K48" s="1">
        <v>12</v>
      </c>
      <c r="L48" s="1">
        <v>32368</v>
      </c>
      <c r="M48" s="2">
        <f t="shared" si="1"/>
        <v>388416</v>
      </c>
      <c r="N48" s="1">
        <v>69914.880000000005</v>
      </c>
      <c r="O48" s="1">
        <f t="shared" si="2"/>
        <v>458330.88</v>
      </c>
      <c r="P48" s="1">
        <v>7295</v>
      </c>
      <c r="Q48" s="1">
        <f t="shared" si="3"/>
        <v>451035.88</v>
      </c>
      <c r="R48" s="1">
        <v>126330</v>
      </c>
      <c r="S48" s="1">
        <f t="shared" si="4"/>
        <v>50532</v>
      </c>
      <c r="T48" s="1">
        <f t="shared" si="5"/>
        <v>75798</v>
      </c>
      <c r="U48" s="1">
        <v>252660</v>
      </c>
      <c r="V48" s="1">
        <f t="shared" si="0"/>
        <v>198375.88</v>
      </c>
      <c r="W48" s="1">
        <v>3.7</v>
      </c>
    </row>
    <row r="49" spans="1:23" x14ac:dyDescent="0.25">
      <c r="A49" s="1" t="s">
        <v>106</v>
      </c>
      <c r="B49" s="1" t="s">
        <v>32</v>
      </c>
      <c r="C49" s="1" t="s">
        <v>408</v>
      </c>
      <c r="D49" s="1" t="s">
        <v>48</v>
      </c>
      <c r="E49" s="1" t="s">
        <v>49</v>
      </c>
      <c r="F49" s="1" t="s">
        <v>59</v>
      </c>
      <c r="G49" s="1" t="s">
        <v>60</v>
      </c>
      <c r="H49" s="1" t="s">
        <v>398</v>
      </c>
      <c r="I49" s="1" t="s">
        <v>395</v>
      </c>
      <c r="J49" s="1" t="s">
        <v>46</v>
      </c>
      <c r="K49" s="1">
        <v>60</v>
      </c>
      <c r="L49" s="1">
        <v>28980</v>
      </c>
      <c r="M49" s="2">
        <f t="shared" si="1"/>
        <v>1738800</v>
      </c>
      <c r="N49" s="1">
        <v>312984</v>
      </c>
      <c r="O49" s="1">
        <f t="shared" si="2"/>
        <v>2051784</v>
      </c>
      <c r="P49" s="1">
        <v>5088</v>
      </c>
      <c r="Q49" s="1">
        <f t="shared" si="3"/>
        <v>2046696</v>
      </c>
      <c r="R49" s="1">
        <f>0.7*U49</f>
        <v>967259.99999999988</v>
      </c>
      <c r="S49" s="1">
        <f t="shared" si="4"/>
        <v>276360</v>
      </c>
      <c r="T49" s="1">
        <f t="shared" si="5"/>
        <v>138180.00000000012</v>
      </c>
      <c r="U49" s="1">
        <v>1381800</v>
      </c>
      <c r="V49" s="1">
        <f t="shared" si="0"/>
        <v>664896</v>
      </c>
      <c r="W49" s="1">
        <v>4.8</v>
      </c>
    </row>
    <row r="50" spans="1:23" x14ac:dyDescent="0.25">
      <c r="A50" s="1" t="s">
        <v>93</v>
      </c>
      <c r="B50" s="1" t="s">
        <v>34</v>
      </c>
      <c r="C50" s="1" t="s">
        <v>408</v>
      </c>
      <c r="D50" s="1" t="s">
        <v>48</v>
      </c>
      <c r="E50" s="1" t="s">
        <v>49</v>
      </c>
      <c r="F50" s="1" t="s">
        <v>17</v>
      </c>
      <c r="G50" s="1" t="s">
        <v>18</v>
      </c>
      <c r="H50" s="1" t="s">
        <v>398</v>
      </c>
      <c r="I50" s="1" t="s">
        <v>397</v>
      </c>
      <c r="J50" s="1" t="s">
        <v>46</v>
      </c>
      <c r="K50" s="1">
        <v>99</v>
      </c>
      <c r="L50" s="1">
        <v>27895</v>
      </c>
      <c r="M50" s="2">
        <f t="shared" si="1"/>
        <v>2761605</v>
      </c>
      <c r="N50" s="1">
        <v>422525.57</v>
      </c>
      <c r="O50" s="1">
        <f t="shared" si="2"/>
        <v>3184130.57</v>
      </c>
      <c r="P50" s="1">
        <v>8414</v>
      </c>
      <c r="Q50" s="1">
        <f t="shared" si="3"/>
        <v>3175716.57</v>
      </c>
      <c r="R50" s="1">
        <f>0.62*U50</f>
        <v>1228275.18</v>
      </c>
      <c r="S50" s="1">
        <f>U50*0.2</f>
        <v>396217.80000000005</v>
      </c>
      <c r="T50" s="1">
        <f t="shared" si="5"/>
        <v>356596.02</v>
      </c>
      <c r="U50" s="1">
        <v>1981089</v>
      </c>
      <c r="V50" s="1">
        <f t="shared" si="0"/>
        <v>1194627.5699999998</v>
      </c>
      <c r="W50" s="1">
        <v>4.5</v>
      </c>
    </row>
    <row r="51" spans="1:23" x14ac:dyDescent="0.25">
      <c r="A51" s="1" t="s">
        <v>107</v>
      </c>
      <c r="B51" s="1" t="s">
        <v>21</v>
      </c>
      <c r="C51" s="1" t="s">
        <v>408</v>
      </c>
      <c r="D51" s="1" t="s">
        <v>55</v>
      </c>
      <c r="E51" s="1" t="s">
        <v>56</v>
      </c>
      <c r="F51" s="1" t="s">
        <v>29</v>
      </c>
      <c r="G51" s="1" t="s">
        <v>87</v>
      </c>
      <c r="H51" s="1" t="s">
        <v>399</v>
      </c>
      <c r="I51" s="1" t="s">
        <v>39</v>
      </c>
      <c r="J51" s="1" t="s">
        <v>46</v>
      </c>
      <c r="K51" s="1">
        <v>79</v>
      </c>
      <c r="L51" s="1">
        <v>14722</v>
      </c>
      <c r="M51" s="2">
        <f t="shared" si="1"/>
        <v>1163038</v>
      </c>
      <c r="N51" s="1">
        <v>184225.22</v>
      </c>
      <c r="O51" s="1">
        <f t="shared" si="2"/>
        <v>1347263.22</v>
      </c>
      <c r="P51" s="1">
        <v>9908</v>
      </c>
      <c r="Q51" s="1">
        <f t="shared" si="3"/>
        <v>1337355.22</v>
      </c>
      <c r="R51" s="1">
        <v>484309.5</v>
      </c>
      <c r="S51" s="1">
        <f>U51*0.1</f>
        <v>96861.900000000009</v>
      </c>
      <c r="T51" s="1">
        <f t="shared" si="5"/>
        <v>387447.6</v>
      </c>
      <c r="U51" s="1">
        <v>968619</v>
      </c>
      <c r="V51" s="1">
        <f t="shared" si="0"/>
        <v>368736.22</v>
      </c>
      <c r="W51" s="1">
        <v>3.6</v>
      </c>
    </row>
    <row r="52" spans="1:23" x14ac:dyDescent="0.25">
      <c r="A52" s="1" t="s">
        <v>108</v>
      </c>
      <c r="B52" s="1" t="s">
        <v>109</v>
      </c>
      <c r="C52" s="1" t="s">
        <v>408</v>
      </c>
      <c r="D52" s="1" t="s">
        <v>42</v>
      </c>
      <c r="E52" s="1" t="s">
        <v>43</v>
      </c>
      <c r="F52" s="1" t="s">
        <v>59</v>
      </c>
      <c r="G52" s="1" t="s">
        <v>60</v>
      </c>
      <c r="H52" s="1" t="s">
        <v>398</v>
      </c>
      <c r="I52" s="1" t="s">
        <v>397</v>
      </c>
      <c r="J52" s="1" t="s">
        <v>46</v>
      </c>
      <c r="K52" s="1">
        <v>196</v>
      </c>
      <c r="L52" s="1">
        <v>2164</v>
      </c>
      <c r="M52" s="2">
        <f t="shared" si="1"/>
        <v>424144</v>
      </c>
      <c r="N52" s="1">
        <v>72528.62</v>
      </c>
      <c r="O52" s="1">
        <f t="shared" si="2"/>
        <v>496672.62</v>
      </c>
      <c r="P52" s="1">
        <v>5258</v>
      </c>
      <c r="Q52" s="1">
        <f t="shared" si="3"/>
        <v>491414.62</v>
      </c>
      <c r="R52" s="1">
        <f>0.7*U52</f>
        <v>204016.4</v>
      </c>
      <c r="S52" s="1">
        <f t="shared" si="4"/>
        <v>58290.400000000001</v>
      </c>
      <c r="T52" s="1">
        <f t="shared" si="5"/>
        <v>29145.200000000012</v>
      </c>
      <c r="U52" s="1">
        <v>291452</v>
      </c>
      <c r="V52" s="1">
        <f t="shared" si="0"/>
        <v>199962.62</v>
      </c>
      <c r="W52" s="1">
        <v>4.0999999999999996</v>
      </c>
    </row>
    <row r="53" spans="1:23" x14ac:dyDescent="0.25">
      <c r="A53" s="1" t="s">
        <v>110</v>
      </c>
      <c r="B53" s="1" t="s">
        <v>51</v>
      </c>
      <c r="C53" s="1" t="s">
        <v>408</v>
      </c>
      <c r="D53" s="1" t="s">
        <v>74</v>
      </c>
      <c r="E53" s="1" t="s">
        <v>56</v>
      </c>
      <c r="F53" s="1" t="s">
        <v>29</v>
      </c>
      <c r="G53" s="1" t="s">
        <v>53</v>
      </c>
      <c r="H53" s="1" t="s">
        <v>398</v>
      </c>
      <c r="I53" s="1" t="s">
        <v>396</v>
      </c>
      <c r="J53" s="1" t="s">
        <v>46</v>
      </c>
      <c r="K53" s="1">
        <v>54</v>
      </c>
      <c r="L53" s="1">
        <v>19780</v>
      </c>
      <c r="M53" s="2">
        <f t="shared" si="1"/>
        <v>1068120</v>
      </c>
      <c r="N53" s="1">
        <v>192261.6</v>
      </c>
      <c r="O53" s="1">
        <f t="shared" si="2"/>
        <v>1260381.6000000001</v>
      </c>
      <c r="P53" s="1">
        <v>8395</v>
      </c>
      <c r="Q53" s="1">
        <f t="shared" si="3"/>
        <v>1251986.6000000001</v>
      </c>
      <c r="R53" s="1">
        <v>219253.5</v>
      </c>
      <c r="S53" s="1">
        <f>U53*0.1</f>
        <v>87701.400000000009</v>
      </c>
      <c r="T53" s="1">
        <f t="shared" si="5"/>
        <v>570059.1</v>
      </c>
      <c r="U53" s="1">
        <v>877014</v>
      </c>
      <c r="V53" s="1">
        <f t="shared" si="0"/>
        <v>374972.60000000009</v>
      </c>
      <c r="W53" s="1">
        <v>4.8</v>
      </c>
    </row>
    <row r="54" spans="1:23" x14ac:dyDescent="0.25">
      <c r="A54" s="1" t="s">
        <v>111</v>
      </c>
      <c r="B54" s="1" t="s">
        <v>37</v>
      </c>
      <c r="C54" s="1" t="s">
        <v>408</v>
      </c>
      <c r="D54" s="1" t="s">
        <v>42</v>
      </c>
      <c r="E54" s="1" t="s">
        <v>43</v>
      </c>
      <c r="F54" s="1" t="s">
        <v>24</v>
      </c>
      <c r="G54" s="1" t="s">
        <v>44</v>
      </c>
      <c r="H54" s="1" t="s">
        <v>398</v>
      </c>
      <c r="I54" s="1" t="s">
        <v>39</v>
      </c>
      <c r="J54" s="1" t="s">
        <v>26</v>
      </c>
      <c r="K54" s="1">
        <v>88</v>
      </c>
      <c r="L54" s="1">
        <v>27660</v>
      </c>
      <c r="M54" s="2">
        <f t="shared" si="1"/>
        <v>2434080</v>
      </c>
      <c r="N54" s="1">
        <v>438134.4</v>
      </c>
      <c r="O54" s="1">
        <f t="shared" si="2"/>
        <v>2872214.4</v>
      </c>
      <c r="P54" s="1">
        <v>9742</v>
      </c>
      <c r="Q54" s="1">
        <f t="shared" si="3"/>
        <v>2862472.4</v>
      </c>
      <c r="R54" s="1">
        <v>810216</v>
      </c>
      <c r="S54" s="1">
        <f t="shared" si="4"/>
        <v>324086.40000000002</v>
      </c>
      <c r="T54" s="1">
        <f t="shared" si="5"/>
        <v>486129.60000000009</v>
      </c>
      <c r="U54" s="1">
        <v>1620432</v>
      </c>
      <c r="V54" s="1">
        <f t="shared" si="0"/>
        <v>1242040.3999999999</v>
      </c>
      <c r="W54" s="1">
        <v>4.8</v>
      </c>
    </row>
    <row r="55" spans="1:23" x14ac:dyDescent="0.25">
      <c r="A55" s="1" t="s">
        <v>112</v>
      </c>
      <c r="B55" s="1" t="s">
        <v>32</v>
      </c>
      <c r="C55" s="1" t="s">
        <v>408</v>
      </c>
      <c r="D55" s="1" t="s">
        <v>48</v>
      </c>
      <c r="E55" s="1" t="s">
        <v>49</v>
      </c>
      <c r="F55" s="1" t="s">
        <v>24</v>
      </c>
      <c r="G55" s="1" t="s">
        <v>63</v>
      </c>
      <c r="H55" s="1" t="s">
        <v>399</v>
      </c>
      <c r="I55" s="1" t="s">
        <v>39</v>
      </c>
      <c r="J55" s="1" t="s">
        <v>26</v>
      </c>
      <c r="K55" s="1">
        <v>111</v>
      </c>
      <c r="L55" s="1">
        <v>27633</v>
      </c>
      <c r="M55" s="2">
        <f t="shared" si="1"/>
        <v>3067263</v>
      </c>
      <c r="N55" s="1">
        <v>552107.34</v>
      </c>
      <c r="O55" s="1">
        <f t="shared" si="2"/>
        <v>3619370.34</v>
      </c>
      <c r="P55" s="1">
        <v>8516</v>
      </c>
      <c r="Q55" s="1">
        <f t="shared" si="3"/>
        <v>3610854.34</v>
      </c>
      <c r="R55" s="1">
        <v>1015095</v>
      </c>
      <c r="S55" s="1">
        <f t="shared" si="4"/>
        <v>406038</v>
      </c>
      <c r="T55" s="1">
        <f t="shared" si="5"/>
        <v>609057</v>
      </c>
      <c r="U55" s="1">
        <v>2030190</v>
      </c>
      <c r="V55" s="1">
        <f t="shared" si="0"/>
        <v>1580664.3399999999</v>
      </c>
      <c r="W55" s="1">
        <v>4.3</v>
      </c>
    </row>
    <row r="56" spans="1:23" x14ac:dyDescent="0.25">
      <c r="A56" s="1" t="s">
        <v>113</v>
      </c>
      <c r="B56" s="1" t="s">
        <v>69</v>
      </c>
      <c r="C56" s="1" t="s">
        <v>408</v>
      </c>
      <c r="D56" s="1" t="s">
        <v>48</v>
      </c>
      <c r="E56" s="1" t="s">
        <v>49</v>
      </c>
      <c r="F56" s="1" t="s">
        <v>17</v>
      </c>
      <c r="G56" s="1" t="s">
        <v>75</v>
      </c>
      <c r="H56" s="1" t="s">
        <v>399</v>
      </c>
      <c r="I56" s="1" t="s">
        <v>397</v>
      </c>
      <c r="J56" s="1" t="s">
        <v>26</v>
      </c>
      <c r="K56" s="1">
        <v>32</v>
      </c>
      <c r="L56" s="1">
        <v>23886</v>
      </c>
      <c r="M56" s="2">
        <f t="shared" si="1"/>
        <v>764352</v>
      </c>
      <c r="N56" s="1">
        <v>116945.86</v>
      </c>
      <c r="O56" s="1">
        <f t="shared" si="2"/>
        <v>881297.86</v>
      </c>
      <c r="P56" s="1">
        <v>7747</v>
      </c>
      <c r="Q56" s="1">
        <f t="shared" si="3"/>
        <v>873550.86</v>
      </c>
      <c r="R56" s="1">
        <f>0.62*U56</f>
        <v>297441.27999999997</v>
      </c>
      <c r="S56" s="1">
        <f>U56*0.2</f>
        <v>95948.800000000003</v>
      </c>
      <c r="T56" s="1">
        <f t="shared" si="5"/>
        <v>86353.920000000042</v>
      </c>
      <c r="U56" s="1">
        <v>479744</v>
      </c>
      <c r="V56" s="1">
        <f t="shared" si="0"/>
        <v>393806.86</v>
      </c>
      <c r="W56" s="1">
        <v>3.8</v>
      </c>
    </row>
    <row r="57" spans="1:23" x14ac:dyDescent="0.25">
      <c r="A57" s="1" t="s">
        <v>114</v>
      </c>
      <c r="B57" s="1" t="s">
        <v>41</v>
      </c>
      <c r="C57" s="1" t="s">
        <v>408</v>
      </c>
      <c r="D57" s="1" t="s">
        <v>62</v>
      </c>
      <c r="E57" s="1" t="s">
        <v>43</v>
      </c>
      <c r="F57" s="1" t="s">
        <v>29</v>
      </c>
      <c r="G57" s="1" t="s">
        <v>30</v>
      </c>
      <c r="H57" s="1" t="s">
        <v>399</v>
      </c>
      <c r="I57" s="1" t="s">
        <v>396</v>
      </c>
      <c r="J57" s="1" t="s">
        <v>26</v>
      </c>
      <c r="K57" s="1">
        <v>81</v>
      </c>
      <c r="L57" s="1">
        <v>13122</v>
      </c>
      <c r="M57" s="2">
        <f t="shared" si="1"/>
        <v>1062882</v>
      </c>
      <c r="N57" s="1">
        <v>162620.95000000001</v>
      </c>
      <c r="O57" s="1">
        <f t="shared" si="2"/>
        <v>1225502.95</v>
      </c>
      <c r="P57" s="1">
        <v>7970</v>
      </c>
      <c r="Q57" s="1">
        <f t="shared" si="3"/>
        <v>1217532.95</v>
      </c>
      <c r="R57" s="1">
        <v>189479.25</v>
      </c>
      <c r="S57" s="1">
        <f>U57*0.1</f>
        <v>75791.7</v>
      </c>
      <c r="T57" s="1">
        <f t="shared" si="5"/>
        <v>492646.05000000005</v>
      </c>
      <c r="U57" s="1">
        <v>757917</v>
      </c>
      <c r="V57" s="1">
        <f t="shared" si="0"/>
        <v>459615.94999999995</v>
      </c>
      <c r="W57" s="1">
        <v>4.5999999999999996</v>
      </c>
    </row>
    <row r="58" spans="1:23" x14ac:dyDescent="0.25">
      <c r="A58" s="1" t="s">
        <v>115</v>
      </c>
      <c r="B58" s="1" t="s">
        <v>32</v>
      </c>
      <c r="C58" s="1" t="s">
        <v>408</v>
      </c>
      <c r="D58" s="1" t="s">
        <v>42</v>
      </c>
      <c r="E58" s="1" t="s">
        <v>43</v>
      </c>
      <c r="F58" s="1" t="s">
        <v>17</v>
      </c>
      <c r="G58" s="1" t="s">
        <v>75</v>
      </c>
      <c r="H58" s="1" t="s">
        <v>398</v>
      </c>
      <c r="I58" s="1" t="s">
        <v>19</v>
      </c>
      <c r="J58" s="1" t="s">
        <v>46</v>
      </c>
      <c r="K58" s="1">
        <v>107</v>
      </c>
      <c r="L58" s="1">
        <v>20357</v>
      </c>
      <c r="M58" s="2">
        <f t="shared" si="1"/>
        <v>2178199</v>
      </c>
      <c r="N58" s="1">
        <v>372472.03</v>
      </c>
      <c r="O58" s="1">
        <f t="shared" si="2"/>
        <v>2550671.0300000003</v>
      </c>
      <c r="P58" s="1">
        <v>8951</v>
      </c>
      <c r="Q58" s="1">
        <f t="shared" si="3"/>
        <v>2541720.0300000003</v>
      </c>
      <c r="R58" s="1">
        <f t="shared" ref="R58:R60" si="13">0.62*U58</f>
        <v>1010026.5</v>
      </c>
      <c r="S58" s="1">
        <f t="shared" ref="S58:S60" si="14">U58*0.2</f>
        <v>325815</v>
      </c>
      <c r="T58" s="1">
        <f t="shared" si="5"/>
        <v>293233.5</v>
      </c>
      <c r="U58" s="1">
        <v>1629075</v>
      </c>
      <c r="V58" s="1">
        <f t="shared" si="0"/>
        <v>912645.03000000026</v>
      </c>
      <c r="W58" s="1">
        <v>3.6</v>
      </c>
    </row>
    <row r="59" spans="1:23" x14ac:dyDescent="0.25">
      <c r="A59" s="1" t="s">
        <v>116</v>
      </c>
      <c r="B59" s="1" t="s">
        <v>32</v>
      </c>
      <c r="C59" s="1" t="s">
        <v>408</v>
      </c>
      <c r="D59" s="1" t="s">
        <v>52</v>
      </c>
      <c r="E59" s="1" t="s">
        <v>23</v>
      </c>
      <c r="F59" s="1" t="s">
        <v>17</v>
      </c>
      <c r="G59" s="1" t="s">
        <v>18</v>
      </c>
      <c r="H59" s="1" t="s">
        <v>399</v>
      </c>
      <c r="I59" s="1" t="s">
        <v>39</v>
      </c>
      <c r="J59" s="1" t="s">
        <v>26</v>
      </c>
      <c r="K59" s="1">
        <v>98</v>
      </c>
      <c r="L59" s="1">
        <v>24806</v>
      </c>
      <c r="M59" s="2">
        <f t="shared" si="1"/>
        <v>2430988</v>
      </c>
      <c r="N59" s="1">
        <v>371941.16</v>
      </c>
      <c r="O59" s="1">
        <f t="shared" si="2"/>
        <v>2802929.16</v>
      </c>
      <c r="P59" s="1">
        <v>6849</v>
      </c>
      <c r="Q59" s="1">
        <f t="shared" si="3"/>
        <v>2796080.16</v>
      </c>
      <c r="R59" s="1">
        <f t="shared" si="13"/>
        <v>954235.8</v>
      </c>
      <c r="S59" s="1">
        <f t="shared" si="14"/>
        <v>307818</v>
      </c>
      <c r="T59" s="1">
        <f t="shared" si="5"/>
        <v>277036.19999999995</v>
      </c>
      <c r="U59" s="1">
        <v>1539090</v>
      </c>
      <c r="V59" s="1">
        <f t="shared" si="0"/>
        <v>1256990.1600000001</v>
      </c>
      <c r="W59" s="1">
        <v>4.0999999999999996</v>
      </c>
    </row>
    <row r="60" spans="1:23" x14ac:dyDescent="0.25">
      <c r="A60" s="1" t="s">
        <v>117</v>
      </c>
      <c r="B60" s="1" t="s">
        <v>37</v>
      </c>
      <c r="C60" s="1" t="s">
        <v>408</v>
      </c>
      <c r="D60" s="1" t="s">
        <v>48</v>
      </c>
      <c r="E60" s="1" t="s">
        <v>49</v>
      </c>
      <c r="F60" s="1" t="s">
        <v>17</v>
      </c>
      <c r="G60" s="1" t="s">
        <v>75</v>
      </c>
      <c r="H60" s="1" t="s">
        <v>399</v>
      </c>
      <c r="I60" s="1" t="s">
        <v>396</v>
      </c>
      <c r="J60" s="1" t="s">
        <v>26</v>
      </c>
      <c r="K60" s="1">
        <v>135</v>
      </c>
      <c r="L60" s="1">
        <v>10840</v>
      </c>
      <c r="M60" s="2">
        <f t="shared" si="1"/>
        <v>1463400</v>
      </c>
      <c r="N60" s="1">
        <v>242339.04</v>
      </c>
      <c r="O60" s="1">
        <f t="shared" si="2"/>
        <v>1705739.04</v>
      </c>
      <c r="P60" s="1">
        <v>8954</v>
      </c>
      <c r="Q60" s="1">
        <f t="shared" si="3"/>
        <v>1696785.04</v>
      </c>
      <c r="R60" s="1">
        <f t="shared" si="13"/>
        <v>575353.80000000005</v>
      </c>
      <c r="S60" s="1">
        <f t="shared" si="14"/>
        <v>185598</v>
      </c>
      <c r="T60" s="1">
        <f t="shared" si="5"/>
        <v>167038.19999999995</v>
      </c>
      <c r="U60" s="1">
        <v>927990</v>
      </c>
      <c r="V60" s="1">
        <f t="shared" si="0"/>
        <v>768795.04</v>
      </c>
      <c r="W60" s="1">
        <v>4.7</v>
      </c>
    </row>
    <row r="61" spans="1:23" x14ac:dyDescent="0.25">
      <c r="A61" s="1" t="s">
        <v>118</v>
      </c>
      <c r="B61" s="1" t="s">
        <v>77</v>
      </c>
      <c r="C61" s="1" t="s">
        <v>408</v>
      </c>
      <c r="D61" s="1" t="s">
        <v>48</v>
      </c>
      <c r="E61" s="1" t="s">
        <v>49</v>
      </c>
      <c r="F61" s="1" t="s">
        <v>24</v>
      </c>
      <c r="G61" s="1" t="s">
        <v>119</v>
      </c>
      <c r="H61" s="1" t="s">
        <v>398</v>
      </c>
      <c r="I61" s="1" t="s">
        <v>19</v>
      </c>
      <c r="J61" s="1" t="s">
        <v>26</v>
      </c>
      <c r="K61" s="1">
        <v>196</v>
      </c>
      <c r="L61" s="1">
        <v>26117</v>
      </c>
      <c r="M61" s="2">
        <f t="shared" si="1"/>
        <v>5118932</v>
      </c>
      <c r="N61" s="1">
        <v>921407.76</v>
      </c>
      <c r="O61" s="1">
        <f t="shared" si="2"/>
        <v>6040339.7599999998</v>
      </c>
      <c r="P61" s="1">
        <v>8629</v>
      </c>
      <c r="Q61" s="1">
        <f t="shared" si="3"/>
        <v>6031710.7599999998</v>
      </c>
      <c r="R61" s="1">
        <v>2679369</v>
      </c>
      <c r="S61" s="1">
        <f t="shared" si="4"/>
        <v>714498.4</v>
      </c>
      <c r="T61" s="1">
        <f t="shared" si="5"/>
        <v>178624.60000000009</v>
      </c>
      <c r="U61" s="1">
        <v>3572492</v>
      </c>
      <c r="V61" s="1">
        <f t="shared" si="0"/>
        <v>2459218.7599999998</v>
      </c>
      <c r="W61" s="1">
        <v>4.9000000000000004</v>
      </c>
    </row>
    <row r="62" spans="1:23" x14ac:dyDescent="0.25">
      <c r="A62" s="1" t="s">
        <v>120</v>
      </c>
      <c r="B62" s="1" t="s">
        <v>109</v>
      </c>
      <c r="C62" s="1" t="s">
        <v>408</v>
      </c>
      <c r="D62" s="1" t="s">
        <v>52</v>
      </c>
      <c r="E62" s="1" t="s">
        <v>23</v>
      </c>
      <c r="F62" s="1" t="s">
        <v>59</v>
      </c>
      <c r="G62" s="1" t="s">
        <v>121</v>
      </c>
      <c r="H62" s="1" t="s">
        <v>399</v>
      </c>
      <c r="I62" s="1" t="s">
        <v>395</v>
      </c>
      <c r="J62" s="1" t="s">
        <v>26</v>
      </c>
      <c r="K62" s="1">
        <v>196</v>
      </c>
      <c r="L62" s="1">
        <v>12637</v>
      </c>
      <c r="M62" s="2">
        <f t="shared" si="1"/>
        <v>2476852</v>
      </c>
      <c r="N62" s="1">
        <v>410166.69</v>
      </c>
      <c r="O62" s="1">
        <f t="shared" si="2"/>
        <v>2887018.69</v>
      </c>
      <c r="P62" s="1">
        <v>6236</v>
      </c>
      <c r="Q62" s="1">
        <f t="shared" si="3"/>
        <v>2880782.69</v>
      </c>
      <c r="R62" s="1">
        <f>0.7*U62</f>
        <v>1085252</v>
      </c>
      <c r="S62" s="1">
        <f t="shared" si="4"/>
        <v>310072</v>
      </c>
      <c r="T62" s="1">
        <f t="shared" si="5"/>
        <v>155036</v>
      </c>
      <c r="U62" s="1">
        <v>1550360</v>
      </c>
      <c r="V62" s="1">
        <f t="shared" si="0"/>
        <v>1330422.69</v>
      </c>
      <c r="W62" s="1">
        <v>3.9</v>
      </c>
    </row>
    <row r="63" spans="1:23" x14ac:dyDescent="0.25">
      <c r="A63" s="1" t="s">
        <v>122</v>
      </c>
      <c r="B63" s="1" t="s">
        <v>69</v>
      </c>
      <c r="C63" s="1" t="s">
        <v>408</v>
      </c>
      <c r="D63" s="1" t="s">
        <v>55</v>
      </c>
      <c r="E63" s="1" t="s">
        <v>56</v>
      </c>
      <c r="F63" s="1" t="s">
        <v>17</v>
      </c>
      <c r="G63" s="1" t="s">
        <v>35</v>
      </c>
      <c r="H63" s="1" t="s">
        <v>398</v>
      </c>
      <c r="I63" s="1" t="s">
        <v>19</v>
      </c>
      <c r="J63" s="1" t="s">
        <v>26</v>
      </c>
      <c r="K63" s="1">
        <v>137</v>
      </c>
      <c r="L63" s="1">
        <v>22866</v>
      </c>
      <c r="M63" s="2">
        <f t="shared" si="1"/>
        <v>3132642</v>
      </c>
      <c r="N63" s="1">
        <v>479294.23</v>
      </c>
      <c r="O63" s="1">
        <f t="shared" si="2"/>
        <v>3611936.23</v>
      </c>
      <c r="P63" s="1">
        <v>8151</v>
      </c>
      <c r="Q63" s="1">
        <f t="shared" si="3"/>
        <v>3603785.23</v>
      </c>
      <c r="R63" s="1">
        <f>0.62*U63</f>
        <v>1256347.54</v>
      </c>
      <c r="S63" s="1">
        <f>U63*0.2</f>
        <v>405273.4</v>
      </c>
      <c r="T63" s="1">
        <f t="shared" si="5"/>
        <v>364746.06000000006</v>
      </c>
      <c r="U63" s="1">
        <v>2026367</v>
      </c>
      <c r="V63" s="1">
        <f t="shared" si="0"/>
        <v>1577418.23</v>
      </c>
      <c r="W63" s="1">
        <v>3.7</v>
      </c>
    </row>
    <row r="64" spans="1:23" x14ac:dyDescent="0.25">
      <c r="A64" s="1" t="s">
        <v>123</v>
      </c>
      <c r="B64" s="1" t="s">
        <v>21</v>
      </c>
      <c r="C64" s="1" t="s">
        <v>408</v>
      </c>
      <c r="D64" s="1" t="s">
        <v>15</v>
      </c>
      <c r="E64" s="1" t="s">
        <v>16</v>
      </c>
      <c r="F64" s="1" t="s">
        <v>24</v>
      </c>
      <c r="G64" s="1" t="s">
        <v>119</v>
      </c>
      <c r="H64" s="1" t="s">
        <v>398</v>
      </c>
      <c r="I64" s="1" t="s">
        <v>396</v>
      </c>
      <c r="J64" s="1" t="s">
        <v>26</v>
      </c>
      <c r="K64" s="1">
        <v>70</v>
      </c>
      <c r="L64" s="1">
        <v>32871</v>
      </c>
      <c r="M64" s="2">
        <f t="shared" si="1"/>
        <v>2300970</v>
      </c>
      <c r="N64" s="1">
        <v>414174.6</v>
      </c>
      <c r="O64" s="1">
        <f t="shared" si="2"/>
        <v>2715144.6</v>
      </c>
      <c r="P64" s="1">
        <v>7013</v>
      </c>
      <c r="Q64" s="1">
        <f t="shared" si="3"/>
        <v>2708131.6</v>
      </c>
      <c r="R64" s="1">
        <v>381832.5</v>
      </c>
      <c r="S64" s="1">
        <f t="shared" si="4"/>
        <v>305466</v>
      </c>
      <c r="T64" s="1">
        <f t="shared" si="5"/>
        <v>840031.5</v>
      </c>
      <c r="U64" s="1">
        <v>1527330</v>
      </c>
      <c r="V64" s="1">
        <f t="shared" si="0"/>
        <v>1180801.6000000001</v>
      </c>
      <c r="W64" s="1">
        <v>3.8</v>
      </c>
    </row>
    <row r="65" spans="1:23" x14ac:dyDescent="0.25">
      <c r="A65" s="1" t="s">
        <v>65</v>
      </c>
      <c r="B65" s="1" t="s">
        <v>109</v>
      </c>
      <c r="C65" s="1" t="s">
        <v>408</v>
      </c>
      <c r="D65" s="1" t="s">
        <v>74</v>
      </c>
      <c r="E65" s="1" t="s">
        <v>56</v>
      </c>
      <c r="F65" s="1" t="s">
        <v>24</v>
      </c>
      <c r="G65" s="1" t="s">
        <v>63</v>
      </c>
      <c r="H65" s="1" t="s">
        <v>398</v>
      </c>
      <c r="I65" s="1" t="s">
        <v>19</v>
      </c>
      <c r="J65" s="1" t="s">
        <v>26</v>
      </c>
      <c r="K65" s="1">
        <v>150</v>
      </c>
      <c r="L65" s="1">
        <v>19254</v>
      </c>
      <c r="M65" s="2">
        <f t="shared" si="1"/>
        <v>2888100</v>
      </c>
      <c r="N65" s="1">
        <v>493865.1</v>
      </c>
      <c r="O65" s="1">
        <f t="shared" si="2"/>
        <v>3381965.1</v>
      </c>
      <c r="P65" s="1">
        <v>8257</v>
      </c>
      <c r="Q65" s="1">
        <f t="shared" si="3"/>
        <v>3373708.1</v>
      </c>
      <c r="R65" s="1">
        <v>1051275</v>
      </c>
      <c r="S65" s="1">
        <f t="shared" si="4"/>
        <v>420510</v>
      </c>
      <c r="T65" s="1">
        <f t="shared" si="5"/>
        <v>630765</v>
      </c>
      <c r="U65" s="1">
        <v>2102550</v>
      </c>
      <c r="V65" s="1">
        <f t="shared" si="0"/>
        <v>1271158.1000000001</v>
      </c>
      <c r="W65" s="1">
        <v>4.5</v>
      </c>
    </row>
    <row r="66" spans="1:23" x14ac:dyDescent="0.25">
      <c r="A66" s="1" t="s">
        <v>124</v>
      </c>
      <c r="B66" s="1" t="s">
        <v>77</v>
      </c>
      <c r="C66" s="1" t="s">
        <v>408</v>
      </c>
      <c r="D66" s="1" t="s">
        <v>74</v>
      </c>
      <c r="E66" s="1" t="s">
        <v>56</v>
      </c>
      <c r="F66" s="1" t="s">
        <v>29</v>
      </c>
      <c r="G66" s="1" t="s">
        <v>30</v>
      </c>
      <c r="H66" s="1" t="s">
        <v>399</v>
      </c>
      <c r="I66" s="1" t="s">
        <v>395</v>
      </c>
      <c r="J66" s="1" t="s">
        <v>26</v>
      </c>
      <c r="K66" s="1">
        <v>182</v>
      </c>
      <c r="L66" s="1">
        <v>27945</v>
      </c>
      <c r="M66" s="2">
        <f t="shared" si="1"/>
        <v>5085990</v>
      </c>
      <c r="N66" s="1">
        <v>805620.82</v>
      </c>
      <c r="O66" s="1">
        <f t="shared" si="2"/>
        <v>5891610.8200000003</v>
      </c>
      <c r="P66" s="1">
        <v>6046</v>
      </c>
      <c r="Q66" s="1">
        <f t="shared" si="3"/>
        <v>5885564.8200000003</v>
      </c>
      <c r="R66" s="1">
        <v>2830464</v>
      </c>
      <c r="S66" s="1">
        <f>U66*0.1</f>
        <v>377395.20000000001</v>
      </c>
      <c r="T66" s="1">
        <f t="shared" si="5"/>
        <v>566092.79999999981</v>
      </c>
      <c r="U66" s="1">
        <v>3773952</v>
      </c>
      <c r="V66" s="1">
        <f t="shared" si="0"/>
        <v>2111612.8200000003</v>
      </c>
      <c r="W66" s="1">
        <v>3.8</v>
      </c>
    </row>
    <row r="67" spans="1:23" x14ac:dyDescent="0.25">
      <c r="A67" s="1" t="s">
        <v>125</v>
      </c>
      <c r="B67" s="1" t="s">
        <v>21</v>
      </c>
      <c r="C67" s="1" t="s">
        <v>408</v>
      </c>
      <c r="D67" s="1" t="s">
        <v>74</v>
      </c>
      <c r="E67" s="1" t="s">
        <v>56</v>
      </c>
      <c r="F67" s="1" t="s">
        <v>59</v>
      </c>
      <c r="G67" s="1" t="s">
        <v>67</v>
      </c>
      <c r="H67" s="1" t="s">
        <v>398</v>
      </c>
      <c r="I67" s="1" t="s">
        <v>397</v>
      </c>
      <c r="J67" s="1" t="s">
        <v>46</v>
      </c>
      <c r="K67" s="1">
        <v>40</v>
      </c>
      <c r="L67" s="1">
        <v>20759</v>
      </c>
      <c r="M67" s="2">
        <f t="shared" si="1"/>
        <v>830360</v>
      </c>
      <c r="N67" s="1">
        <v>127045.08</v>
      </c>
      <c r="O67" s="1">
        <f t="shared" si="2"/>
        <v>957405.08</v>
      </c>
      <c r="P67" s="1">
        <v>6264</v>
      </c>
      <c r="Q67" s="1">
        <f t="shared" si="3"/>
        <v>951141.08</v>
      </c>
      <c r="R67" s="1">
        <f t="shared" ref="R67:R68" si="15">0.7*U67</f>
        <v>372848</v>
      </c>
      <c r="S67" s="1">
        <f t="shared" si="4"/>
        <v>106528</v>
      </c>
      <c r="T67" s="1">
        <f t="shared" si="5"/>
        <v>53264</v>
      </c>
      <c r="U67" s="1">
        <v>532640</v>
      </c>
      <c r="V67" s="1">
        <f t="shared" si="0"/>
        <v>418501.07999999996</v>
      </c>
      <c r="W67" s="1">
        <v>4.4000000000000004</v>
      </c>
    </row>
    <row r="68" spans="1:23" x14ac:dyDescent="0.25">
      <c r="A68" s="1" t="s">
        <v>126</v>
      </c>
      <c r="B68" s="1" t="s">
        <v>51</v>
      </c>
      <c r="C68" s="1" t="s">
        <v>408</v>
      </c>
      <c r="D68" s="1" t="s">
        <v>74</v>
      </c>
      <c r="E68" s="1" t="s">
        <v>56</v>
      </c>
      <c r="F68" s="1" t="s">
        <v>59</v>
      </c>
      <c r="G68" s="1" t="s">
        <v>60</v>
      </c>
      <c r="H68" s="1" t="s">
        <v>399</v>
      </c>
      <c r="I68" s="1" t="s">
        <v>19</v>
      </c>
      <c r="J68" s="1" t="s">
        <v>26</v>
      </c>
      <c r="K68" s="1">
        <v>163</v>
      </c>
      <c r="L68" s="1">
        <v>34337</v>
      </c>
      <c r="M68" s="2">
        <f t="shared" si="1"/>
        <v>5596931</v>
      </c>
      <c r="N68" s="1">
        <v>957075.2</v>
      </c>
      <c r="O68" s="1">
        <f t="shared" si="2"/>
        <v>6554006.2000000002</v>
      </c>
      <c r="P68" s="1">
        <v>8208</v>
      </c>
      <c r="Q68" s="1">
        <f t="shared" si="3"/>
        <v>6545798.2000000002</v>
      </c>
      <c r="R68" s="1">
        <f t="shared" si="15"/>
        <v>2453035.9</v>
      </c>
      <c r="S68" s="1">
        <f t="shared" si="4"/>
        <v>700867.4</v>
      </c>
      <c r="T68" s="1">
        <f t="shared" si="5"/>
        <v>350433.70000000019</v>
      </c>
      <c r="U68" s="1">
        <v>3504337</v>
      </c>
      <c r="V68" s="1">
        <f t="shared" ref="V68:V131" si="16">Q68-U68</f>
        <v>3041461.2</v>
      </c>
      <c r="W68" s="1">
        <v>4.7</v>
      </c>
    </row>
    <row r="69" spans="1:23" x14ac:dyDescent="0.25">
      <c r="A69" s="1" t="s">
        <v>127</v>
      </c>
      <c r="B69" s="1" t="s">
        <v>77</v>
      </c>
      <c r="C69" s="1" t="s">
        <v>408</v>
      </c>
      <c r="D69" s="1" t="s">
        <v>15</v>
      </c>
      <c r="E69" s="1" t="s">
        <v>16</v>
      </c>
      <c r="F69" s="1" t="s">
        <v>29</v>
      </c>
      <c r="G69" s="1" t="s">
        <v>91</v>
      </c>
      <c r="H69" s="1" t="s">
        <v>399</v>
      </c>
      <c r="I69" s="1" t="s">
        <v>397</v>
      </c>
      <c r="J69" s="1" t="s">
        <v>26</v>
      </c>
      <c r="K69" s="1">
        <v>171</v>
      </c>
      <c r="L69" s="1">
        <v>8298</v>
      </c>
      <c r="M69" s="2">
        <f t="shared" ref="M69:M132" si="17">K69*L69</f>
        <v>1418958</v>
      </c>
      <c r="N69" s="1">
        <v>224762.95</v>
      </c>
      <c r="O69" s="1">
        <f t="shared" ref="O69:O132" si="18">M69+N69</f>
        <v>1643720.95</v>
      </c>
      <c r="P69" s="1">
        <v>9965</v>
      </c>
      <c r="Q69" s="1">
        <f t="shared" ref="Q69:Q132" si="19">O69-P69</f>
        <v>1633755.95</v>
      </c>
      <c r="R69" s="1">
        <v>778862.25</v>
      </c>
      <c r="S69" s="1">
        <f>U69*0.1</f>
        <v>103848.3</v>
      </c>
      <c r="T69" s="1">
        <f t="shared" ref="T69:T132" si="20">U69-S69-R69</f>
        <v>155772.44999999995</v>
      </c>
      <c r="U69" s="1">
        <v>1038483</v>
      </c>
      <c r="V69" s="1">
        <f t="shared" si="16"/>
        <v>595272.94999999995</v>
      </c>
      <c r="W69" s="1">
        <v>4.5999999999999996</v>
      </c>
    </row>
    <row r="70" spans="1:23" x14ac:dyDescent="0.25">
      <c r="A70" s="1" t="s">
        <v>128</v>
      </c>
      <c r="B70" s="1" t="s">
        <v>34</v>
      </c>
      <c r="C70" s="1" t="s">
        <v>408</v>
      </c>
      <c r="D70" s="1" t="s">
        <v>42</v>
      </c>
      <c r="E70" s="1" t="s">
        <v>43</v>
      </c>
      <c r="F70" s="1" t="s">
        <v>59</v>
      </c>
      <c r="G70" s="1" t="s">
        <v>60</v>
      </c>
      <c r="H70" s="1" t="s">
        <v>399</v>
      </c>
      <c r="I70" s="1" t="s">
        <v>19</v>
      </c>
      <c r="J70" s="1" t="s">
        <v>46</v>
      </c>
      <c r="K70" s="1">
        <v>125</v>
      </c>
      <c r="L70" s="1">
        <v>20922</v>
      </c>
      <c r="M70" s="2">
        <f t="shared" si="17"/>
        <v>2615250</v>
      </c>
      <c r="N70" s="1">
        <v>400133.25</v>
      </c>
      <c r="O70" s="1">
        <f t="shared" si="18"/>
        <v>3015383.25</v>
      </c>
      <c r="P70" s="1">
        <v>8776</v>
      </c>
      <c r="Q70" s="1">
        <f t="shared" si="19"/>
        <v>3006607.25</v>
      </c>
      <c r="R70" s="1">
        <f>0.7*U70</f>
        <v>1516725</v>
      </c>
      <c r="S70" s="1">
        <f t="shared" ref="S70:S132" si="21">U70*0.2</f>
        <v>433350</v>
      </c>
      <c r="T70" s="1">
        <f t="shared" si="20"/>
        <v>216675</v>
      </c>
      <c r="U70" s="1">
        <v>2166750</v>
      </c>
      <c r="V70" s="1">
        <f t="shared" si="16"/>
        <v>839857.25</v>
      </c>
      <c r="W70" s="1">
        <v>3.7</v>
      </c>
    </row>
    <row r="71" spans="1:23" x14ac:dyDescent="0.25">
      <c r="A71" s="1" t="s">
        <v>129</v>
      </c>
      <c r="B71" s="1" t="s">
        <v>41</v>
      </c>
      <c r="C71" s="1" t="s">
        <v>408</v>
      </c>
      <c r="D71" s="1" t="s">
        <v>42</v>
      </c>
      <c r="E71" s="1" t="s">
        <v>43</v>
      </c>
      <c r="F71" s="1" t="s">
        <v>24</v>
      </c>
      <c r="G71" s="1" t="s">
        <v>119</v>
      </c>
      <c r="H71" s="1" t="s">
        <v>399</v>
      </c>
      <c r="I71" s="1" t="s">
        <v>396</v>
      </c>
      <c r="J71" s="1" t="s">
        <v>46</v>
      </c>
      <c r="K71" s="1">
        <v>187</v>
      </c>
      <c r="L71" s="1">
        <v>29000</v>
      </c>
      <c r="M71" s="2">
        <f t="shared" si="17"/>
        <v>5423000</v>
      </c>
      <c r="N71" s="1">
        <v>927333</v>
      </c>
      <c r="O71" s="1">
        <f t="shared" si="18"/>
        <v>6350333</v>
      </c>
      <c r="P71" s="1">
        <v>7416</v>
      </c>
      <c r="Q71" s="1">
        <f t="shared" si="19"/>
        <v>6342917</v>
      </c>
      <c r="R71" s="1">
        <v>1042291.25</v>
      </c>
      <c r="S71" s="1">
        <f t="shared" si="21"/>
        <v>833833</v>
      </c>
      <c r="T71" s="1">
        <f t="shared" si="20"/>
        <v>2293040.75</v>
      </c>
      <c r="U71" s="1">
        <v>4169165</v>
      </c>
      <c r="V71" s="1">
        <f t="shared" si="16"/>
        <v>2173752</v>
      </c>
      <c r="W71" s="1">
        <v>4.2</v>
      </c>
    </row>
    <row r="72" spans="1:23" x14ac:dyDescent="0.25">
      <c r="A72" s="1" t="s">
        <v>98</v>
      </c>
      <c r="B72" s="1" t="s">
        <v>58</v>
      </c>
      <c r="C72" s="1" t="s">
        <v>408</v>
      </c>
      <c r="D72" s="1" t="s">
        <v>48</v>
      </c>
      <c r="E72" s="1" t="s">
        <v>49</v>
      </c>
      <c r="F72" s="1" t="s">
        <v>24</v>
      </c>
      <c r="G72" s="1" t="s">
        <v>25</v>
      </c>
      <c r="H72" s="1" t="s">
        <v>399</v>
      </c>
      <c r="I72" s="1" t="s">
        <v>396</v>
      </c>
      <c r="J72" s="1" t="s">
        <v>46</v>
      </c>
      <c r="K72" s="1">
        <v>18</v>
      </c>
      <c r="L72" s="1">
        <v>6090</v>
      </c>
      <c r="M72" s="2">
        <f t="shared" si="17"/>
        <v>109620</v>
      </c>
      <c r="N72" s="1">
        <v>19731.599999999999</v>
      </c>
      <c r="O72" s="1">
        <f t="shared" si="18"/>
        <v>129351.6</v>
      </c>
      <c r="P72" s="1">
        <v>6516</v>
      </c>
      <c r="Q72" s="1">
        <f t="shared" si="19"/>
        <v>122835.6</v>
      </c>
      <c r="R72" s="1">
        <v>37800</v>
      </c>
      <c r="S72" s="1">
        <f t="shared" si="21"/>
        <v>15120</v>
      </c>
      <c r="T72" s="1">
        <f t="shared" si="20"/>
        <v>22680</v>
      </c>
      <c r="U72" s="1">
        <v>75600</v>
      </c>
      <c r="V72" s="1">
        <f t="shared" si="16"/>
        <v>47235.600000000006</v>
      </c>
      <c r="W72" s="1">
        <v>3.7</v>
      </c>
    </row>
    <row r="73" spans="1:23" x14ac:dyDescent="0.25">
      <c r="A73" s="1" t="s">
        <v>130</v>
      </c>
      <c r="B73" s="1" t="s">
        <v>69</v>
      </c>
      <c r="C73" s="1" t="s">
        <v>408</v>
      </c>
      <c r="D73" s="1" t="s">
        <v>74</v>
      </c>
      <c r="E73" s="1" t="s">
        <v>56</v>
      </c>
      <c r="F73" s="1" t="s">
        <v>29</v>
      </c>
      <c r="G73" s="1" t="s">
        <v>53</v>
      </c>
      <c r="H73" s="1" t="s">
        <v>399</v>
      </c>
      <c r="I73" s="1" t="s">
        <v>397</v>
      </c>
      <c r="J73" s="1" t="s">
        <v>46</v>
      </c>
      <c r="K73" s="1">
        <v>118</v>
      </c>
      <c r="L73" s="1">
        <v>25087</v>
      </c>
      <c r="M73" s="2">
        <f t="shared" si="17"/>
        <v>2960266</v>
      </c>
      <c r="N73" s="1">
        <v>532847.88</v>
      </c>
      <c r="O73" s="1">
        <f t="shared" si="18"/>
        <v>3493113.88</v>
      </c>
      <c r="P73" s="1">
        <v>5384</v>
      </c>
      <c r="Q73" s="1">
        <f t="shared" si="19"/>
        <v>3487729.88</v>
      </c>
      <c r="R73" s="1">
        <v>470200.5</v>
      </c>
      <c r="S73" s="1">
        <f>U73*0.1</f>
        <v>188080.2</v>
      </c>
      <c r="T73" s="1">
        <f t="shared" si="20"/>
        <v>1222521.3</v>
      </c>
      <c r="U73" s="1">
        <v>1880802</v>
      </c>
      <c r="V73" s="1">
        <f t="shared" si="16"/>
        <v>1606927.88</v>
      </c>
      <c r="W73" s="1">
        <v>4.2</v>
      </c>
    </row>
    <row r="74" spans="1:23" x14ac:dyDescent="0.25">
      <c r="A74" s="1" t="s">
        <v>131</v>
      </c>
      <c r="B74" s="1" t="s">
        <v>51</v>
      </c>
      <c r="C74" s="1" t="s">
        <v>408</v>
      </c>
      <c r="D74" s="1" t="s">
        <v>62</v>
      </c>
      <c r="E74" s="1" t="s">
        <v>43</v>
      </c>
      <c r="F74" s="1" t="s">
        <v>59</v>
      </c>
      <c r="G74" s="1" t="s">
        <v>67</v>
      </c>
      <c r="H74" s="1" t="s">
        <v>399</v>
      </c>
      <c r="I74" s="1" t="s">
        <v>19</v>
      </c>
      <c r="J74" s="1" t="s">
        <v>26</v>
      </c>
      <c r="K74" s="1">
        <v>52</v>
      </c>
      <c r="L74" s="1">
        <v>10646</v>
      </c>
      <c r="M74" s="2">
        <f t="shared" si="17"/>
        <v>553592</v>
      </c>
      <c r="N74" s="1">
        <v>87688.97</v>
      </c>
      <c r="O74" s="1">
        <f t="shared" si="18"/>
        <v>641280.97</v>
      </c>
      <c r="P74" s="1">
        <v>8022</v>
      </c>
      <c r="Q74" s="1">
        <f t="shared" si="19"/>
        <v>633258.97</v>
      </c>
      <c r="R74" s="1">
        <f t="shared" ref="R74:R76" si="22">0.7*U74</f>
        <v>292219.19999999995</v>
      </c>
      <c r="S74" s="1">
        <f t="shared" si="21"/>
        <v>83491.200000000012</v>
      </c>
      <c r="T74" s="1">
        <f t="shared" si="20"/>
        <v>41745.600000000035</v>
      </c>
      <c r="U74" s="1">
        <v>417456</v>
      </c>
      <c r="V74" s="1">
        <f t="shared" si="16"/>
        <v>215802.96999999997</v>
      </c>
      <c r="W74" s="1">
        <v>4.2</v>
      </c>
    </row>
    <row r="75" spans="1:23" x14ac:dyDescent="0.25">
      <c r="A75" s="1" t="s">
        <v>128</v>
      </c>
      <c r="B75" s="1" t="s">
        <v>41</v>
      </c>
      <c r="C75" s="1" t="s">
        <v>408</v>
      </c>
      <c r="D75" s="1" t="s">
        <v>42</v>
      </c>
      <c r="E75" s="1" t="s">
        <v>43</v>
      </c>
      <c r="F75" s="1" t="s">
        <v>59</v>
      </c>
      <c r="G75" s="1" t="s">
        <v>67</v>
      </c>
      <c r="H75" s="1" t="s">
        <v>398</v>
      </c>
      <c r="I75" s="1" t="s">
        <v>19</v>
      </c>
      <c r="J75" s="1" t="s">
        <v>26</v>
      </c>
      <c r="K75" s="1">
        <v>67</v>
      </c>
      <c r="L75" s="1">
        <v>29820</v>
      </c>
      <c r="M75" s="2">
        <f t="shared" si="17"/>
        <v>1997940</v>
      </c>
      <c r="N75" s="1">
        <v>359629.2</v>
      </c>
      <c r="O75" s="1">
        <f t="shared" si="18"/>
        <v>2357569.2000000002</v>
      </c>
      <c r="P75" s="1">
        <v>6258</v>
      </c>
      <c r="Q75" s="1">
        <f t="shared" si="19"/>
        <v>2351311.2000000002</v>
      </c>
      <c r="R75" s="1">
        <f t="shared" si="22"/>
        <v>1074150.7</v>
      </c>
      <c r="S75" s="1">
        <f t="shared" si="21"/>
        <v>306900.2</v>
      </c>
      <c r="T75" s="1">
        <f t="shared" si="20"/>
        <v>153450.10000000009</v>
      </c>
      <c r="U75" s="1">
        <v>1534501</v>
      </c>
      <c r="V75" s="1">
        <f t="shared" si="16"/>
        <v>816810.20000000019</v>
      </c>
      <c r="W75" s="1">
        <v>3.5</v>
      </c>
    </row>
    <row r="76" spans="1:23" x14ac:dyDescent="0.25">
      <c r="A76" s="1" t="s">
        <v>132</v>
      </c>
      <c r="B76" s="1" t="s">
        <v>41</v>
      </c>
      <c r="C76" s="1" t="s">
        <v>408</v>
      </c>
      <c r="D76" s="1" t="s">
        <v>62</v>
      </c>
      <c r="E76" s="1" t="s">
        <v>43</v>
      </c>
      <c r="F76" s="1" t="s">
        <v>59</v>
      </c>
      <c r="G76" s="1" t="s">
        <v>121</v>
      </c>
      <c r="H76" s="1" t="s">
        <v>399</v>
      </c>
      <c r="I76" s="1" t="s">
        <v>396</v>
      </c>
      <c r="J76" s="1" t="s">
        <v>46</v>
      </c>
      <c r="K76" s="1">
        <v>187</v>
      </c>
      <c r="L76" s="1">
        <v>13216</v>
      </c>
      <c r="M76" s="2">
        <f t="shared" si="17"/>
        <v>2471392</v>
      </c>
      <c r="N76" s="1">
        <v>391468.49</v>
      </c>
      <c r="O76" s="1">
        <f t="shared" si="18"/>
        <v>2862860.49</v>
      </c>
      <c r="P76" s="1">
        <v>5614</v>
      </c>
      <c r="Q76" s="1">
        <f t="shared" si="19"/>
        <v>2857246.49</v>
      </c>
      <c r="R76" s="1">
        <f t="shared" si="22"/>
        <v>1283081.7999999998</v>
      </c>
      <c r="S76" s="1">
        <f t="shared" si="21"/>
        <v>366594.80000000005</v>
      </c>
      <c r="T76" s="1">
        <f t="shared" si="20"/>
        <v>183297.40000000014</v>
      </c>
      <c r="U76" s="1">
        <v>1832974</v>
      </c>
      <c r="V76" s="1">
        <f t="shared" si="16"/>
        <v>1024272.4900000002</v>
      </c>
      <c r="W76" s="1">
        <v>4.9000000000000004</v>
      </c>
    </row>
    <row r="77" spans="1:23" x14ac:dyDescent="0.25">
      <c r="A77" s="1" t="s">
        <v>133</v>
      </c>
      <c r="B77" s="1" t="s">
        <v>69</v>
      </c>
      <c r="C77" s="1" t="s">
        <v>408</v>
      </c>
      <c r="D77" s="1" t="s">
        <v>52</v>
      </c>
      <c r="E77" s="1" t="s">
        <v>23</v>
      </c>
      <c r="F77" s="1" t="s">
        <v>17</v>
      </c>
      <c r="G77" s="1" t="s">
        <v>35</v>
      </c>
      <c r="H77" s="1" t="s">
        <v>399</v>
      </c>
      <c r="I77" s="1" t="s">
        <v>396</v>
      </c>
      <c r="J77" s="1" t="s">
        <v>26</v>
      </c>
      <c r="K77" s="1">
        <v>176</v>
      </c>
      <c r="L77" s="1">
        <v>27845</v>
      </c>
      <c r="M77" s="2">
        <f t="shared" si="17"/>
        <v>4900720</v>
      </c>
      <c r="N77" s="1">
        <v>749810.16</v>
      </c>
      <c r="O77" s="1">
        <f t="shared" si="18"/>
        <v>5650530.1600000001</v>
      </c>
      <c r="P77" s="1">
        <v>6221</v>
      </c>
      <c r="Q77" s="1">
        <f t="shared" si="19"/>
        <v>5644309.1600000001</v>
      </c>
      <c r="R77" s="1">
        <f>0.62*U77</f>
        <v>2293702.4</v>
      </c>
      <c r="S77" s="1">
        <f>U77*0.2</f>
        <v>739904</v>
      </c>
      <c r="T77" s="1">
        <f t="shared" si="20"/>
        <v>665913.60000000009</v>
      </c>
      <c r="U77" s="1">
        <v>3699520</v>
      </c>
      <c r="V77" s="1">
        <f t="shared" si="16"/>
        <v>1944789.1600000001</v>
      </c>
      <c r="W77" s="1">
        <v>4.4000000000000004</v>
      </c>
    </row>
    <row r="78" spans="1:23" x14ac:dyDescent="0.25">
      <c r="A78" s="1" t="s">
        <v>134</v>
      </c>
      <c r="B78" s="1" t="s">
        <v>51</v>
      </c>
      <c r="C78" s="1" t="s">
        <v>408</v>
      </c>
      <c r="D78" s="1" t="s">
        <v>42</v>
      </c>
      <c r="E78" s="1" t="s">
        <v>43</v>
      </c>
      <c r="F78" s="1" t="s">
        <v>24</v>
      </c>
      <c r="G78" s="1" t="s">
        <v>63</v>
      </c>
      <c r="H78" s="1" t="s">
        <v>398</v>
      </c>
      <c r="I78" s="1" t="s">
        <v>395</v>
      </c>
      <c r="J78" s="1" t="s">
        <v>46</v>
      </c>
      <c r="K78" s="1">
        <v>55</v>
      </c>
      <c r="L78" s="1">
        <v>5564</v>
      </c>
      <c r="M78" s="2">
        <f t="shared" si="17"/>
        <v>306020</v>
      </c>
      <c r="N78" s="1">
        <v>50676.91</v>
      </c>
      <c r="O78" s="1">
        <f t="shared" si="18"/>
        <v>356696.91000000003</v>
      </c>
      <c r="P78" s="1">
        <v>9503</v>
      </c>
      <c r="Q78" s="1">
        <f t="shared" si="19"/>
        <v>347193.91000000003</v>
      </c>
      <c r="R78" s="1">
        <v>118745</v>
      </c>
      <c r="S78" s="1">
        <f t="shared" si="21"/>
        <v>47498</v>
      </c>
      <c r="T78" s="1">
        <f t="shared" si="20"/>
        <v>71247</v>
      </c>
      <c r="U78" s="1">
        <v>237490</v>
      </c>
      <c r="V78" s="1">
        <f t="shared" si="16"/>
        <v>109703.91000000003</v>
      </c>
      <c r="W78" s="1">
        <v>3.9</v>
      </c>
    </row>
    <row r="79" spans="1:23" x14ac:dyDescent="0.25">
      <c r="A79" s="1" t="s">
        <v>70</v>
      </c>
      <c r="B79" s="1" t="s">
        <v>41</v>
      </c>
      <c r="C79" s="1" t="s">
        <v>408</v>
      </c>
      <c r="D79" s="1" t="s">
        <v>15</v>
      </c>
      <c r="E79" s="1" t="s">
        <v>16</v>
      </c>
      <c r="F79" s="1" t="s">
        <v>59</v>
      </c>
      <c r="G79" s="1" t="s">
        <v>60</v>
      </c>
      <c r="H79" s="1" t="s">
        <v>399</v>
      </c>
      <c r="I79" s="1" t="s">
        <v>39</v>
      </c>
      <c r="J79" s="1" t="s">
        <v>26</v>
      </c>
      <c r="K79" s="1">
        <v>88</v>
      </c>
      <c r="L79" s="1">
        <v>33322</v>
      </c>
      <c r="M79" s="2">
        <f t="shared" si="17"/>
        <v>2932336</v>
      </c>
      <c r="N79" s="1">
        <v>485594.84</v>
      </c>
      <c r="O79" s="1">
        <f t="shared" si="18"/>
        <v>3417930.84</v>
      </c>
      <c r="P79" s="1">
        <v>8784</v>
      </c>
      <c r="Q79" s="1">
        <f t="shared" si="19"/>
        <v>3409146.84</v>
      </c>
      <c r="R79" s="1">
        <f>0.7*U79</f>
        <v>1483143.2</v>
      </c>
      <c r="S79" s="1">
        <f t="shared" si="21"/>
        <v>423755.2</v>
      </c>
      <c r="T79" s="1">
        <f t="shared" si="20"/>
        <v>211877.60000000009</v>
      </c>
      <c r="U79" s="1">
        <v>2118776</v>
      </c>
      <c r="V79" s="1">
        <f t="shared" si="16"/>
        <v>1290370.8399999999</v>
      </c>
      <c r="W79" s="1">
        <v>4.4000000000000004</v>
      </c>
    </row>
    <row r="80" spans="1:23" x14ac:dyDescent="0.25">
      <c r="A80" s="1" t="s">
        <v>135</v>
      </c>
      <c r="B80" s="1" t="s">
        <v>51</v>
      </c>
      <c r="C80" s="1" t="s">
        <v>408</v>
      </c>
      <c r="D80" s="1" t="s">
        <v>48</v>
      </c>
      <c r="E80" s="1" t="s">
        <v>49</v>
      </c>
      <c r="F80" s="1" t="s">
        <v>24</v>
      </c>
      <c r="G80" s="1" t="s">
        <v>25</v>
      </c>
      <c r="H80" s="1" t="s">
        <v>399</v>
      </c>
      <c r="I80" s="1" t="s">
        <v>397</v>
      </c>
      <c r="J80" s="1" t="s">
        <v>26</v>
      </c>
      <c r="K80" s="1">
        <v>76</v>
      </c>
      <c r="L80" s="1">
        <v>7421</v>
      </c>
      <c r="M80" s="2">
        <f t="shared" si="17"/>
        <v>563996</v>
      </c>
      <c r="N80" s="1">
        <v>93397.74</v>
      </c>
      <c r="O80" s="1">
        <f t="shared" si="18"/>
        <v>657393.74</v>
      </c>
      <c r="P80" s="1">
        <v>8812</v>
      </c>
      <c r="Q80" s="1">
        <f t="shared" si="19"/>
        <v>648581.74</v>
      </c>
      <c r="R80" s="1">
        <v>338523</v>
      </c>
      <c r="S80" s="1">
        <f t="shared" si="21"/>
        <v>90272.8</v>
      </c>
      <c r="T80" s="1">
        <f t="shared" si="20"/>
        <v>22568.200000000012</v>
      </c>
      <c r="U80" s="1">
        <v>451364</v>
      </c>
      <c r="V80" s="1">
        <f t="shared" si="16"/>
        <v>197217.74</v>
      </c>
      <c r="W80" s="1">
        <v>4.7</v>
      </c>
    </row>
    <row r="81" spans="1:23" x14ac:dyDescent="0.25">
      <c r="A81" s="1" t="s">
        <v>136</v>
      </c>
      <c r="B81" s="1" t="s">
        <v>109</v>
      </c>
      <c r="C81" s="1" t="s">
        <v>408</v>
      </c>
      <c r="D81" s="1" t="s">
        <v>15</v>
      </c>
      <c r="E81" s="1" t="s">
        <v>16</v>
      </c>
      <c r="F81" s="1" t="s">
        <v>17</v>
      </c>
      <c r="G81" s="1" t="s">
        <v>72</v>
      </c>
      <c r="H81" s="1" t="s">
        <v>399</v>
      </c>
      <c r="I81" s="1" t="s">
        <v>39</v>
      </c>
      <c r="J81" s="1" t="s">
        <v>26</v>
      </c>
      <c r="K81" s="1">
        <v>138</v>
      </c>
      <c r="L81" s="1">
        <v>25966</v>
      </c>
      <c r="M81" s="2">
        <f t="shared" si="17"/>
        <v>3583308</v>
      </c>
      <c r="N81" s="1">
        <v>612745.67000000004</v>
      </c>
      <c r="O81" s="1">
        <f t="shared" si="18"/>
        <v>4196053.67</v>
      </c>
      <c r="P81" s="1">
        <v>9763</v>
      </c>
      <c r="Q81" s="1">
        <f t="shared" si="19"/>
        <v>4186290.67</v>
      </c>
      <c r="R81" s="1">
        <f t="shared" ref="R81:R84" si="23">0.62*U81</f>
        <v>1753637.76</v>
      </c>
      <c r="S81" s="1">
        <f t="shared" si="21"/>
        <v>565689.59999999998</v>
      </c>
      <c r="T81" s="1">
        <f t="shared" si="20"/>
        <v>509120.6399999999</v>
      </c>
      <c r="U81" s="1">
        <v>2828448</v>
      </c>
      <c r="V81" s="1">
        <f t="shared" si="16"/>
        <v>1357842.67</v>
      </c>
      <c r="W81" s="1">
        <v>4.3</v>
      </c>
    </row>
    <row r="82" spans="1:23" x14ac:dyDescent="0.25">
      <c r="A82" s="1" t="s">
        <v>137</v>
      </c>
      <c r="B82" s="1" t="s">
        <v>32</v>
      </c>
      <c r="C82" s="1" t="s">
        <v>408</v>
      </c>
      <c r="D82" s="1" t="s">
        <v>48</v>
      </c>
      <c r="E82" s="1" t="s">
        <v>49</v>
      </c>
      <c r="F82" s="1" t="s">
        <v>17</v>
      </c>
      <c r="G82" s="1" t="s">
        <v>38</v>
      </c>
      <c r="H82" s="1" t="s">
        <v>399</v>
      </c>
      <c r="I82" s="1" t="s">
        <v>396</v>
      </c>
      <c r="J82" s="1" t="s">
        <v>46</v>
      </c>
      <c r="K82" s="1">
        <v>143</v>
      </c>
      <c r="L82" s="1">
        <v>36455</v>
      </c>
      <c r="M82" s="2">
        <f t="shared" si="17"/>
        <v>5213065</v>
      </c>
      <c r="N82" s="1">
        <v>825749.5</v>
      </c>
      <c r="O82" s="1">
        <f t="shared" si="18"/>
        <v>6038814.5</v>
      </c>
      <c r="P82" s="1">
        <v>7492</v>
      </c>
      <c r="Q82" s="1">
        <f t="shared" si="19"/>
        <v>6031322.5</v>
      </c>
      <c r="R82" s="1">
        <f t="shared" si="23"/>
        <v>2090602.8</v>
      </c>
      <c r="S82" s="1">
        <f t="shared" si="21"/>
        <v>674388</v>
      </c>
      <c r="T82" s="1">
        <f t="shared" si="20"/>
        <v>606949.19999999995</v>
      </c>
      <c r="U82" s="1">
        <v>3371940</v>
      </c>
      <c r="V82" s="1">
        <f t="shared" si="16"/>
        <v>2659382.5</v>
      </c>
      <c r="W82" s="1">
        <v>5</v>
      </c>
    </row>
    <row r="83" spans="1:23" x14ac:dyDescent="0.25">
      <c r="A83" s="1" t="s">
        <v>138</v>
      </c>
      <c r="B83" s="1" t="s">
        <v>37</v>
      </c>
      <c r="C83" s="1" t="s">
        <v>408</v>
      </c>
      <c r="D83" s="1" t="s">
        <v>22</v>
      </c>
      <c r="E83" s="1" t="s">
        <v>23</v>
      </c>
      <c r="F83" s="1" t="s">
        <v>17</v>
      </c>
      <c r="G83" s="1" t="s">
        <v>38</v>
      </c>
      <c r="H83" s="1" t="s">
        <v>398</v>
      </c>
      <c r="I83" s="1" t="s">
        <v>397</v>
      </c>
      <c r="J83" s="1" t="s">
        <v>26</v>
      </c>
      <c r="K83" s="1">
        <v>75</v>
      </c>
      <c r="L83" s="1">
        <v>6021</v>
      </c>
      <c r="M83" s="2">
        <f t="shared" si="17"/>
        <v>451575</v>
      </c>
      <c r="N83" s="1">
        <v>77219.320000000007</v>
      </c>
      <c r="O83" s="1">
        <f t="shared" si="18"/>
        <v>528794.32000000007</v>
      </c>
      <c r="P83" s="1">
        <v>7526</v>
      </c>
      <c r="Q83" s="1">
        <f t="shared" si="19"/>
        <v>521268.32000000007</v>
      </c>
      <c r="R83" s="1">
        <f t="shared" si="23"/>
        <v>233104.5</v>
      </c>
      <c r="S83" s="1">
        <f t="shared" si="21"/>
        <v>75195</v>
      </c>
      <c r="T83" s="1">
        <f t="shared" si="20"/>
        <v>67675.5</v>
      </c>
      <c r="U83" s="1">
        <v>375975</v>
      </c>
      <c r="V83" s="1">
        <f t="shared" si="16"/>
        <v>145293.32000000007</v>
      </c>
      <c r="W83" s="1">
        <v>3.9</v>
      </c>
    </row>
    <row r="84" spans="1:23" x14ac:dyDescent="0.25">
      <c r="A84" s="1" t="s">
        <v>139</v>
      </c>
      <c r="B84" s="1" t="s">
        <v>109</v>
      </c>
      <c r="C84" s="1" t="s">
        <v>408</v>
      </c>
      <c r="D84" s="1" t="s">
        <v>74</v>
      </c>
      <c r="E84" s="1" t="s">
        <v>56</v>
      </c>
      <c r="F84" s="1" t="s">
        <v>17</v>
      </c>
      <c r="G84" s="1" t="s">
        <v>75</v>
      </c>
      <c r="H84" s="1" t="s">
        <v>399</v>
      </c>
      <c r="I84" s="1" t="s">
        <v>39</v>
      </c>
      <c r="J84" s="1" t="s">
        <v>46</v>
      </c>
      <c r="K84" s="1">
        <v>182</v>
      </c>
      <c r="L84" s="1">
        <v>4888</v>
      </c>
      <c r="M84" s="2">
        <f t="shared" si="17"/>
        <v>889616</v>
      </c>
      <c r="N84" s="1">
        <v>147320.41</v>
      </c>
      <c r="O84" s="1">
        <f t="shared" si="18"/>
        <v>1036936.41</v>
      </c>
      <c r="P84" s="1">
        <v>6008</v>
      </c>
      <c r="Q84" s="1">
        <f t="shared" si="19"/>
        <v>1030928.41</v>
      </c>
      <c r="R84" s="1">
        <f t="shared" si="23"/>
        <v>414461.32</v>
      </c>
      <c r="S84" s="1">
        <f t="shared" si="21"/>
        <v>133697.20000000001</v>
      </c>
      <c r="T84" s="1">
        <f t="shared" si="20"/>
        <v>120327.48000000004</v>
      </c>
      <c r="U84" s="1">
        <v>668486</v>
      </c>
      <c r="V84" s="1">
        <f t="shared" si="16"/>
        <v>362442.41000000003</v>
      </c>
      <c r="W84" s="1">
        <v>3.9</v>
      </c>
    </row>
    <row r="85" spans="1:23" x14ac:dyDescent="0.25">
      <c r="A85" s="1" t="s">
        <v>140</v>
      </c>
      <c r="B85" s="1" t="s">
        <v>21</v>
      </c>
      <c r="C85" s="1" t="s">
        <v>408</v>
      </c>
      <c r="D85" s="1" t="s">
        <v>78</v>
      </c>
      <c r="E85" s="1" t="s">
        <v>49</v>
      </c>
      <c r="F85" s="1" t="s">
        <v>59</v>
      </c>
      <c r="G85" s="1" t="s">
        <v>103</v>
      </c>
      <c r="H85" s="1" t="s">
        <v>399</v>
      </c>
      <c r="I85" s="1" t="s">
        <v>397</v>
      </c>
      <c r="J85" s="1" t="s">
        <v>26</v>
      </c>
      <c r="K85" s="1">
        <v>89</v>
      </c>
      <c r="L85" s="1">
        <v>33539</v>
      </c>
      <c r="M85" s="2">
        <f t="shared" si="17"/>
        <v>2984971</v>
      </c>
      <c r="N85" s="1">
        <v>472819.41</v>
      </c>
      <c r="O85" s="1">
        <f t="shared" si="18"/>
        <v>3457790.41</v>
      </c>
      <c r="P85" s="1">
        <v>9972</v>
      </c>
      <c r="Q85" s="1">
        <f t="shared" si="19"/>
        <v>3447818.41</v>
      </c>
      <c r="R85" s="1">
        <f>0.7*U85</f>
        <v>1517814.9</v>
      </c>
      <c r="S85" s="1">
        <f t="shared" si="21"/>
        <v>433661.4</v>
      </c>
      <c r="T85" s="1">
        <f t="shared" si="20"/>
        <v>216830.70000000019</v>
      </c>
      <c r="U85" s="1">
        <v>2168307</v>
      </c>
      <c r="V85" s="1">
        <f t="shared" si="16"/>
        <v>1279511.4100000001</v>
      </c>
      <c r="W85" s="1">
        <v>4.5</v>
      </c>
    </row>
    <row r="86" spans="1:23" x14ac:dyDescent="0.25">
      <c r="A86" s="1" t="s">
        <v>57</v>
      </c>
      <c r="B86" s="1" t="s">
        <v>34</v>
      </c>
      <c r="C86" s="1" t="s">
        <v>408</v>
      </c>
      <c r="D86" s="1" t="s">
        <v>42</v>
      </c>
      <c r="E86" s="1" t="s">
        <v>43</v>
      </c>
      <c r="F86" s="1" t="s">
        <v>29</v>
      </c>
      <c r="G86" s="1" t="s">
        <v>91</v>
      </c>
      <c r="H86" s="1" t="s">
        <v>398</v>
      </c>
      <c r="I86" s="1" t="s">
        <v>395</v>
      </c>
      <c r="J86" s="1" t="s">
        <v>46</v>
      </c>
      <c r="K86" s="1">
        <v>154</v>
      </c>
      <c r="L86" s="1">
        <v>19466</v>
      </c>
      <c r="M86" s="2">
        <f t="shared" si="17"/>
        <v>2997764</v>
      </c>
      <c r="N86" s="1">
        <v>458657.89</v>
      </c>
      <c r="O86" s="1">
        <f t="shared" si="18"/>
        <v>3456421.89</v>
      </c>
      <c r="P86" s="1">
        <v>7218</v>
      </c>
      <c r="Q86" s="1">
        <f t="shared" si="19"/>
        <v>3449203.89</v>
      </c>
      <c r="R86" s="1">
        <v>1581888</v>
      </c>
      <c r="S86" s="1">
        <f>U86*0.1</f>
        <v>210918.40000000002</v>
      </c>
      <c r="T86" s="1">
        <f t="shared" si="20"/>
        <v>316377.60000000009</v>
      </c>
      <c r="U86" s="1">
        <v>2109184</v>
      </c>
      <c r="V86" s="1">
        <f t="shared" si="16"/>
        <v>1340019.8900000001</v>
      </c>
      <c r="W86" s="1">
        <v>4.0999999999999996</v>
      </c>
    </row>
    <row r="87" spans="1:23" x14ac:dyDescent="0.25">
      <c r="A87" s="1" t="s">
        <v>141</v>
      </c>
      <c r="B87" s="1" t="s">
        <v>34</v>
      </c>
      <c r="C87" s="1" t="s">
        <v>408</v>
      </c>
      <c r="D87" s="1" t="s">
        <v>74</v>
      </c>
      <c r="E87" s="1" t="s">
        <v>56</v>
      </c>
      <c r="F87" s="1" t="s">
        <v>17</v>
      </c>
      <c r="G87" s="1" t="s">
        <v>38</v>
      </c>
      <c r="H87" s="1" t="s">
        <v>398</v>
      </c>
      <c r="I87" s="1" t="s">
        <v>395</v>
      </c>
      <c r="J87" s="1" t="s">
        <v>46</v>
      </c>
      <c r="K87" s="1">
        <v>101</v>
      </c>
      <c r="L87" s="1">
        <v>19762</v>
      </c>
      <c r="M87" s="2">
        <f t="shared" si="17"/>
        <v>1995962</v>
      </c>
      <c r="N87" s="1">
        <v>330531.31</v>
      </c>
      <c r="O87" s="1">
        <f t="shared" si="18"/>
        <v>2326493.31</v>
      </c>
      <c r="P87" s="1">
        <v>9429</v>
      </c>
      <c r="Q87" s="1">
        <f t="shared" si="19"/>
        <v>2317064.31</v>
      </c>
      <c r="R87" s="1">
        <f>0.62*U87</f>
        <v>795023.52</v>
      </c>
      <c r="S87" s="1">
        <f>U87*0.2</f>
        <v>256459.2</v>
      </c>
      <c r="T87" s="1">
        <f t="shared" si="20"/>
        <v>230813.28000000003</v>
      </c>
      <c r="U87" s="1">
        <v>1282296</v>
      </c>
      <c r="V87" s="1">
        <f t="shared" si="16"/>
        <v>1034768.31</v>
      </c>
      <c r="W87" s="1">
        <v>4.9000000000000004</v>
      </c>
    </row>
    <row r="88" spans="1:23" x14ac:dyDescent="0.25">
      <c r="A88" s="1" t="s">
        <v>142</v>
      </c>
      <c r="B88" s="1" t="s">
        <v>109</v>
      </c>
      <c r="C88" s="1" t="s">
        <v>408</v>
      </c>
      <c r="D88" s="1" t="s">
        <v>52</v>
      </c>
      <c r="E88" s="1" t="s">
        <v>23</v>
      </c>
      <c r="F88" s="1" t="s">
        <v>24</v>
      </c>
      <c r="G88" s="1" t="s">
        <v>143</v>
      </c>
      <c r="H88" s="1" t="s">
        <v>399</v>
      </c>
      <c r="I88" s="1" t="s">
        <v>397</v>
      </c>
      <c r="J88" s="1" t="s">
        <v>26</v>
      </c>
      <c r="K88" s="1">
        <v>129</v>
      </c>
      <c r="L88" s="1">
        <v>27806</v>
      </c>
      <c r="M88" s="2">
        <f t="shared" si="17"/>
        <v>3586974</v>
      </c>
      <c r="N88" s="1">
        <v>548807.02</v>
      </c>
      <c r="O88" s="1">
        <f t="shared" si="18"/>
        <v>4135781.02</v>
      </c>
      <c r="P88" s="1">
        <v>6356</v>
      </c>
      <c r="Q88" s="1">
        <f t="shared" si="19"/>
        <v>4129425.02</v>
      </c>
      <c r="R88" s="1">
        <v>1122945</v>
      </c>
      <c r="S88" s="1">
        <f t="shared" si="21"/>
        <v>449178</v>
      </c>
      <c r="T88" s="1">
        <f t="shared" si="20"/>
        <v>673767</v>
      </c>
      <c r="U88" s="1">
        <v>2245890</v>
      </c>
      <c r="V88" s="1">
        <f t="shared" si="16"/>
        <v>1883535.02</v>
      </c>
      <c r="W88" s="1">
        <v>3.5</v>
      </c>
    </row>
    <row r="89" spans="1:23" x14ac:dyDescent="0.25">
      <c r="A89" s="1" t="s">
        <v>144</v>
      </c>
      <c r="B89" s="1" t="s">
        <v>14</v>
      </c>
      <c r="C89" s="1" t="s">
        <v>408</v>
      </c>
      <c r="D89" s="1" t="s">
        <v>52</v>
      </c>
      <c r="E89" s="1" t="s">
        <v>23</v>
      </c>
      <c r="F89" s="1" t="s">
        <v>24</v>
      </c>
      <c r="G89" s="1" t="s">
        <v>143</v>
      </c>
      <c r="H89" s="1" t="s">
        <v>399</v>
      </c>
      <c r="I89" s="1" t="s">
        <v>39</v>
      </c>
      <c r="J89" s="1" t="s">
        <v>26</v>
      </c>
      <c r="K89" s="1">
        <v>36</v>
      </c>
      <c r="L89" s="1">
        <v>6562</v>
      </c>
      <c r="M89" s="2">
        <f t="shared" si="17"/>
        <v>236232</v>
      </c>
      <c r="N89" s="1">
        <v>40395.67</v>
      </c>
      <c r="O89" s="1">
        <f t="shared" si="18"/>
        <v>276627.67</v>
      </c>
      <c r="P89" s="1">
        <v>9040</v>
      </c>
      <c r="Q89" s="1">
        <f t="shared" si="19"/>
        <v>267587.67</v>
      </c>
      <c r="R89" s="1">
        <v>40536</v>
      </c>
      <c r="S89" s="1">
        <f t="shared" si="21"/>
        <v>32428.800000000003</v>
      </c>
      <c r="T89" s="1">
        <f t="shared" si="20"/>
        <v>89179.199999999997</v>
      </c>
      <c r="U89" s="1">
        <v>162144</v>
      </c>
      <c r="V89" s="1">
        <f t="shared" si="16"/>
        <v>105443.66999999998</v>
      </c>
      <c r="W89" s="1">
        <v>4.2</v>
      </c>
    </row>
    <row r="90" spans="1:23" x14ac:dyDescent="0.25">
      <c r="A90" s="1" t="s">
        <v>145</v>
      </c>
      <c r="B90" s="1" t="s">
        <v>32</v>
      </c>
      <c r="C90" s="1" t="s">
        <v>408</v>
      </c>
      <c r="D90" s="1" t="s">
        <v>42</v>
      </c>
      <c r="E90" s="1" t="s">
        <v>43</v>
      </c>
      <c r="F90" s="1" t="s">
        <v>59</v>
      </c>
      <c r="G90" s="1" t="s">
        <v>60</v>
      </c>
      <c r="H90" s="1" t="s">
        <v>399</v>
      </c>
      <c r="I90" s="1" t="s">
        <v>396</v>
      </c>
      <c r="J90" s="1" t="s">
        <v>26</v>
      </c>
      <c r="K90" s="1">
        <v>111</v>
      </c>
      <c r="L90" s="1">
        <v>30469</v>
      </c>
      <c r="M90" s="2">
        <f t="shared" si="17"/>
        <v>3382059</v>
      </c>
      <c r="N90" s="1">
        <v>517455.03</v>
      </c>
      <c r="O90" s="1">
        <f t="shared" si="18"/>
        <v>3899514.0300000003</v>
      </c>
      <c r="P90" s="1">
        <v>9208</v>
      </c>
      <c r="Q90" s="1">
        <f t="shared" si="19"/>
        <v>3890306.0300000003</v>
      </c>
      <c r="R90" s="1">
        <f>0.7*U90</f>
        <v>1608234.5999999999</v>
      </c>
      <c r="S90" s="1">
        <f t="shared" si="21"/>
        <v>459495.60000000003</v>
      </c>
      <c r="T90" s="1">
        <f t="shared" si="20"/>
        <v>229747.80000000005</v>
      </c>
      <c r="U90" s="1">
        <v>2297478</v>
      </c>
      <c r="V90" s="1">
        <f t="shared" si="16"/>
        <v>1592828.0300000003</v>
      </c>
      <c r="W90" s="1">
        <v>3.6</v>
      </c>
    </row>
    <row r="91" spans="1:23" x14ac:dyDescent="0.25">
      <c r="A91" s="1" t="s">
        <v>146</v>
      </c>
      <c r="B91" s="1" t="s">
        <v>77</v>
      </c>
      <c r="C91" s="1" t="s">
        <v>408</v>
      </c>
      <c r="D91" s="1" t="s">
        <v>52</v>
      </c>
      <c r="E91" s="1" t="s">
        <v>23</v>
      </c>
      <c r="F91" s="1" t="s">
        <v>29</v>
      </c>
      <c r="G91" s="1" t="s">
        <v>53</v>
      </c>
      <c r="H91" s="1" t="s">
        <v>399</v>
      </c>
      <c r="I91" s="1" t="s">
        <v>39</v>
      </c>
      <c r="J91" s="1" t="s">
        <v>26</v>
      </c>
      <c r="K91" s="1">
        <v>12</v>
      </c>
      <c r="L91" s="1">
        <v>32893</v>
      </c>
      <c r="M91" s="2">
        <f t="shared" si="17"/>
        <v>394716</v>
      </c>
      <c r="N91" s="1">
        <v>71048.88</v>
      </c>
      <c r="O91" s="1">
        <f t="shared" si="18"/>
        <v>465764.88</v>
      </c>
      <c r="P91" s="1">
        <v>8868</v>
      </c>
      <c r="Q91" s="1">
        <f t="shared" si="19"/>
        <v>456896.88</v>
      </c>
      <c r="R91" s="1">
        <v>125532</v>
      </c>
      <c r="S91" s="1">
        <f t="shared" ref="S91:S92" si="24">U91*0.1</f>
        <v>25106.400000000001</v>
      </c>
      <c r="T91" s="1">
        <f t="shared" si="20"/>
        <v>100425.60000000001</v>
      </c>
      <c r="U91" s="1">
        <v>251064</v>
      </c>
      <c r="V91" s="1">
        <f t="shared" si="16"/>
        <v>205832.88</v>
      </c>
      <c r="W91" s="1">
        <v>3.5</v>
      </c>
    </row>
    <row r="92" spans="1:23" x14ac:dyDescent="0.25">
      <c r="A92" s="1" t="s">
        <v>147</v>
      </c>
      <c r="B92" s="1" t="s">
        <v>28</v>
      </c>
      <c r="C92" s="1" t="s">
        <v>408</v>
      </c>
      <c r="D92" s="1" t="s">
        <v>48</v>
      </c>
      <c r="E92" s="1" t="s">
        <v>49</v>
      </c>
      <c r="F92" s="1" t="s">
        <v>29</v>
      </c>
      <c r="G92" s="1" t="s">
        <v>91</v>
      </c>
      <c r="H92" s="1" t="s">
        <v>399</v>
      </c>
      <c r="I92" s="1" t="s">
        <v>19</v>
      </c>
      <c r="J92" s="1" t="s">
        <v>46</v>
      </c>
      <c r="K92" s="1">
        <v>171</v>
      </c>
      <c r="L92" s="1">
        <v>9591</v>
      </c>
      <c r="M92" s="2">
        <f t="shared" si="17"/>
        <v>1640061</v>
      </c>
      <c r="N92" s="1">
        <v>295210.98</v>
      </c>
      <c r="O92" s="1">
        <f t="shared" si="18"/>
        <v>1935271.98</v>
      </c>
      <c r="P92" s="1">
        <v>7306</v>
      </c>
      <c r="Q92" s="1">
        <f t="shared" si="19"/>
        <v>1927965.98</v>
      </c>
      <c r="R92" s="1">
        <v>824647.5</v>
      </c>
      <c r="S92" s="1">
        <f t="shared" si="24"/>
        <v>109953</v>
      </c>
      <c r="T92" s="1">
        <f t="shared" si="20"/>
        <v>164929.5</v>
      </c>
      <c r="U92" s="1">
        <v>1099530</v>
      </c>
      <c r="V92" s="1">
        <f t="shared" si="16"/>
        <v>828435.98</v>
      </c>
      <c r="W92" s="1">
        <v>4.5999999999999996</v>
      </c>
    </row>
    <row r="93" spans="1:23" x14ac:dyDescent="0.25">
      <c r="A93" s="1" t="s">
        <v>148</v>
      </c>
      <c r="B93" s="1" t="s">
        <v>51</v>
      </c>
      <c r="C93" s="1" t="s">
        <v>408</v>
      </c>
      <c r="D93" s="1" t="s">
        <v>48</v>
      </c>
      <c r="E93" s="1" t="s">
        <v>49</v>
      </c>
      <c r="F93" s="1" t="s">
        <v>24</v>
      </c>
      <c r="G93" s="1" t="s">
        <v>63</v>
      </c>
      <c r="H93" s="1" t="s">
        <v>398</v>
      </c>
      <c r="I93" s="1" t="s">
        <v>396</v>
      </c>
      <c r="J93" s="1" t="s">
        <v>26</v>
      </c>
      <c r="K93" s="1">
        <v>54</v>
      </c>
      <c r="L93" s="1">
        <v>3263</v>
      </c>
      <c r="M93" s="2">
        <f t="shared" si="17"/>
        <v>176202</v>
      </c>
      <c r="N93" s="1">
        <v>30130.54</v>
      </c>
      <c r="O93" s="1">
        <f t="shared" si="18"/>
        <v>206332.54</v>
      </c>
      <c r="P93" s="1">
        <v>6535</v>
      </c>
      <c r="Q93" s="1">
        <f t="shared" si="19"/>
        <v>199797.54</v>
      </c>
      <c r="R93" s="1">
        <v>34600.5</v>
      </c>
      <c r="S93" s="1">
        <f t="shared" si="21"/>
        <v>27680.400000000001</v>
      </c>
      <c r="T93" s="1">
        <f t="shared" si="20"/>
        <v>76121.100000000006</v>
      </c>
      <c r="U93" s="1">
        <v>138402</v>
      </c>
      <c r="V93" s="1">
        <f t="shared" si="16"/>
        <v>61395.540000000008</v>
      </c>
      <c r="W93" s="1">
        <v>3.8</v>
      </c>
    </row>
    <row r="94" spans="1:23" x14ac:dyDescent="0.25">
      <c r="A94" s="1" t="s">
        <v>149</v>
      </c>
      <c r="B94" s="1" t="s">
        <v>21</v>
      </c>
      <c r="C94" s="1" t="s">
        <v>408</v>
      </c>
      <c r="D94" s="1" t="s">
        <v>78</v>
      </c>
      <c r="E94" s="1" t="s">
        <v>49</v>
      </c>
      <c r="F94" s="1" t="s">
        <v>59</v>
      </c>
      <c r="G94" s="1" t="s">
        <v>67</v>
      </c>
      <c r="H94" s="1" t="s">
        <v>399</v>
      </c>
      <c r="I94" s="1" t="s">
        <v>19</v>
      </c>
      <c r="J94" s="1" t="s">
        <v>26</v>
      </c>
      <c r="K94" s="1">
        <v>75</v>
      </c>
      <c r="L94" s="1">
        <v>15792</v>
      </c>
      <c r="M94" s="2">
        <f t="shared" si="17"/>
        <v>1184400</v>
      </c>
      <c r="N94" s="1">
        <v>202532.4</v>
      </c>
      <c r="O94" s="1">
        <f t="shared" si="18"/>
        <v>1386932.4</v>
      </c>
      <c r="P94" s="1">
        <v>7883</v>
      </c>
      <c r="Q94" s="1">
        <f t="shared" si="19"/>
        <v>1379049.4</v>
      </c>
      <c r="R94" s="1">
        <f>0.7*U94</f>
        <v>529567.5</v>
      </c>
      <c r="S94" s="1">
        <f t="shared" si="21"/>
        <v>151305</v>
      </c>
      <c r="T94" s="1">
        <f t="shared" si="20"/>
        <v>75652.5</v>
      </c>
      <c r="U94" s="1">
        <v>756525</v>
      </c>
      <c r="V94" s="1">
        <f t="shared" si="16"/>
        <v>622524.39999999991</v>
      </c>
      <c r="W94" s="1">
        <v>4.8</v>
      </c>
    </row>
    <row r="95" spans="1:23" x14ac:dyDescent="0.25">
      <c r="A95" s="1" t="s">
        <v>150</v>
      </c>
      <c r="B95" s="1" t="s">
        <v>28</v>
      </c>
      <c r="C95" s="1" t="s">
        <v>408</v>
      </c>
      <c r="D95" s="1" t="s">
        <v>55</v>
      </c>
      <c r="E95" s="1" t="s">
        <v>56</v>
      </c>
      <c r="F95" s="1" t="s">
        <v>24</v>
      </c>
      <c r="G95" s="1" t="s">
        <v>44</v>
      </c>
      <c r="H95" s="1" t="s">
        <v>399</v>
      </c>
      <c r="I95" s="1" t="s">
        <v>39</v>
      </c>
      <c r="J95" s="1" t="s">
        <v>46</v>
      </c>
      <c r="K95" s="1">
        <v>69</v>
      </c>
      <c r="L95" s="1">
        <v>26859</v>
      </c>
      <c r="M95" s="2">
        <f t="shared" si="17"/>
        <v>1853271</v>
      </c>
      <c r="N95" s="1">
        <v>333588.78000000003</v>
      </c>
      <c r="O95" s="1">
        <f t="shared" si="18"/>
        <v>2186859.7800000003</v>
      </c>
      <c r="P95" s="1">
        <v>7258</v>
      </c>
      <c r="Q95" s="1">
        <f t="shared" si="19"/>
        <v>2179601.7800000003</v>
      </c>
      <c r="R95" s="1">
        <v>631005</v>
      </c>
      <c r="S95" s="1">
        <f t="shared" si="21"/>
        <v>252402</v>
      </c>
      <c r="T95" s="1">
        <f t="shared" si="20"/>
        <v>378603</v>
      </c>
      <c r="U95" s="1">
        <v>1262010</v>
      </c>
      <c r="V95" s="1">
        <f t="shared" si="16"/>
        <v>917591.78000000026</v>
      </c>
      <c r="W95" s="1">
        <v>4.2</v>
      </c>
    </row>
    <row r="96" spans="1:23" x14ac:dyDescent="0.25">
      <c r="A96" s="1" t="s">
        <v>151</v>
      </c>
      <c r="B96" s="1" t="s">
        <v>21</v>
      </c>
      <c r="C96" s="1" t="s">
        <v>408</v>
      </c>
      <c r="D96" s="1" t="s">
        <v>74</v>
      </c>
      <c r="E96" s="1" t="s">
        <v>56</v>
      </c>
      <c r="F96" s="1" t="s">
        <v>29</v>
      </c>
      <c r="G96" s="1" t="s">
        <v>53</v>
      </c>
      <c r="H96" s="1" t="s">
        <v>398</v>
      </c>
      <c r="I96" s="1" t="s">
        <v>39</v>
      </c>
      <c r="J96" s="1" t="s">
        <v>46</v>
      </c>
      <c r="K96" s="1">
        <v>31</v>
      </c>
      <c r="L96" s="1">
        <v>2684</v>
      </c>
      <c r="M96" s="2">
        <f t="shared" si="17"/>
        <v>83204</v>
      </c>
      <c r="N96" s="1">
        <v>13179.51</v>
      </c>
      <c r="O96" s="1">
        <f t="shared" si="18"/>
        <v>96383.51</v>
      </c>
      <c r="P96" s="1">
        <v>9461</v>
      </c>
      <c r="Q96" s="1">
        <f t="shared" si="19"/>
        <v>86922.51</v>
      </c>
      <c r="R96" s="1">
        <v>50824.5</v>
      </c>
      <c r="S96" s="1">
        <f>U96*0.1</f>
        <v>6776.6</v>
      </c>
      <c r="T96" s="1">
        <f t="shared" si="20"/>
        <v>10164.900000000001</v>
      </c>
      <c r="U96" s="1">
        <v>67766</v>
      </c>
      <c r="V96" s="1">
        <f t="shared" si="16"/>
        <v>19156.509999999995</v>
      </c>
      <c r="W96" s="1">
        <v>3.6</v>
      </c>
    </row>
    <row r="97" spans="1:23" x14ac:dyDescent="0.25">
      <c r="A97" s="1" t="s">
        <v>152</v>
      </c>
      <c r="B97" s="1" t="s">
        <v>109</v>
      </c>
      <c r="C97" s="1" t="s">
        <v>408</v>
      </c>
      <c r="D97" s="1" t="s">
        <v>74</v>
      </c>
      <c r="E97" s="1" t="s">
        <v>56</v>
      </c>
      <c r="F97" s="1" t="s">
        <v>24</v>
      </c>
      <c r="G97" s="1" t="s">
        <v>63</v>
      </c>
      <c r="H97" s="1" t="s">
        <v>399</v>
      </c>
      <c r="I97" s="1" t="s">
        <v>397</v>
      </c>
      <c r="J97" s="1" t="s">
        <v>26</v>
      </c>
      <c r="K97" s="1">
        <v>154</v>
      </c>
      <c r="L97" s="1">
        <v>30092</v>
      </c>
      <c r="M97" s="2">
        <f t="shared" si="17"/>
        <v>4634168</v>
      </c>
      <c r="N97" s="1">
        <v>734052.21</v>
      </c>
      <c r="O97" s="1">
        <f t="shared" si="18"/>
        <v>5368220.21</v>
      </c>
      <c r="P97" s="1">
        <v>9421</v>
      </c>
      <c r="Q97" s="1">
        <f t="shared" si="19"/>
        <v>5358799.21</v>
      </c>
      <c r="R97" s="1">
        <v>755216</v>
      </c>
      <c r="S97" s="1">
        <f t="shared" si="21"/>
        <v>604172.80000000005</v>
      </c>
      <c r="T97" s="1">
        <f t="shared" si="20"/>
        <v>1661475.2000000002</v>
      </c>
      <c r="U97" s="1">
        <v>3020864</v>
      </c>
      <c r="V97" s="1">
        <f t="shared" si="16"/>
        <v>2337935.21</v>
      </c>
      <c r="W97" s="1">
        <v>3.8</v>
      </c>
    </row>
    <row r="98" spans="1:23" x14ac:dyDescent="0.25">
      <c r="A98" s="1" t="s">
        <v>153</v>
      </c>
      <c r="B98" s="1" t="s">
        <v>14</v>
      </c>
      <c r="C98" s="1" t="s">
        <v>408</v>
      </c>
      <c r="D98" s="1" t="s">
        <v>48</v>
      </c>
      <c r="E98" s="1" t="s">
        <v>49</v>
      </c>
      <c r="F98" s="1" t="s">
        <v>24</v>
      </c>
      <c r="G98" s="1" t="s">
        <v>63</v>
      </c>
      <c r="H98" s="1" t="s">
        <v>398</v>
      </c>
      <c r="I98" s="1" t="s">
        <v>396</v>
      </c>
      <c r="J98" s="1" t="s">
        <v>26</v>
      </c>
      <c r="K98" s="1">
        <v>168</v>
      </c>
      <c r="L98" s="1">
        <v>9410</v>
      </c>
      <c r="M98" s="2">
        <f t="shared" si="17"/>
        <v>1580880</v>
      </c>
      <c r="N98" s="1">
        <v>284558.40000000002</v>
      </c>
      <c r="O98" s="1">
        <f t="shared" si="18"/>
        <v>1865438.4</v>
      </c>
      <c r="P98" s="1">
        <v>6417</v>
      </c>
      <c r="Q98" s="1">
        <f t="shared" si="19"/>
        <v>1859021.4</v>
      </c>
      <c r="R98" s="1">
        <v>834624</v>
      </c>
      <c r="S98" s="1">
        <f t="shared" si="21"/>
        <v>222566.40000000002</v>
      </c>
      <c r="T98" s="1">
        <f t="shared" si="20"/>
        <v>55641.599999999977</v>
      </c>
      <c r="U98" s="1">
        <v>1112832</v>
      </c>
      <c r="V98" s="1">
        <f t="shared" si="16"/>
        <v>746189.39999999991</v>
      </c>
      <c r="W98" s="1">
        <v>4.3</v>
      </c>
    </row>
    <row r="99" spans="1:23" x14ac:dyDescent="0.25">
      <c r="A99" s="1" t="s">
        <v>132</v>
      </c>
      <c r="B99" s="1" t="s">
        <v>41</v>
      </c>
      <c r="C99" s="1" t="s">
        <v>408</v>
      </c>
      <c r="D99" s="1" t="s">
        <v>78</v>
      </c>
      <c r="E99" s="1" t="s">
        <v>49</v>
      </c>
      <c r="F99" s="1" t="s">
        <v>59</v>
      </c>
      <c r="G99" s="1" t="s">
        <v>121</v>
      </c>
      <c r="H99" s="1" t="s">
        <v>399</v>
      </c>
      <c r="I99" s="1" t="s">
        <v>19</v>
      </c>
      <c r="J99" s="1" t="s">
        <v>46</v>
      </c>
      <c r="K99" s="1">
        <v>46</v>
      </c>
      <c r="L99" s="1">
        <v>28029</v>
      </c>
      <c r="M99" s="2">
        <f t="shared" si="17"/>
        <v>1289334</v>
      </c>
      <c r="N99" s="1">
        <v>204230.51</v>
      </c>
      <c r="O99" s="1">
        <f t="shared" si="18"/>
        <v>1493564.51</v>
      </c>
      <c r="P99" s="1">
        <v>6594</v>
      </c>
      <c r="Q99" s="1">
        <f t="shared" si="19"/>
        <v>1486970.51</v>
      </c>
      <c r="R99" s="1">
        <f t="shared" ref="R99:R100" si="25">0.7*U99</f>
        <v>675427.2</v>
      </c>
      <c r="S99" s="1">
        <f t="shared" si="21"/>
        <v>192979.20000000001</v>
      </c>
      <c r="T99" s="1">
        <f t="shared" si="20"/>
        <v>96489.600000000093</v>
      </c>
      <c r="U99" s="1">
        <v>964896</v>
      </c>
      <c r="V99" s="1">
        <f t="shared" si="16"/>
        <v>522074.51</v>
      </c>
      <c r="W99" s="1">
        <v>4.7</v>
      </c>
    </row>
    <row r="100" spans="1:23" x14ac:dyDescent="0.25">
      <c r="A100" s="1" t="s">
        <v>154</v>
      </c>
      <c r="B100" s="1" t="s">
        <v>34</v>
      </c>
      <c r="C100" s="1" t="s">
        <v>408</v>
      </c>
      <c r="D100" s="1" t="s">
        <v>15</v>
      </c>
      <c r="E100" s="1" t="s">
        <v>16</v>
      </c>
      <c r="F100" s="1" t="s">
        <v>59</v>
      </c>
      <c r="G100" s="1" t="s">
        <v>60</v>
      </c>
      <c r="H100" s="1" t="s">
        <v>399</v>
      </c>
      <c r="I100" s="1" t="s">
        <v>39</v>
      </c>
      <c r="J100" s="1" t="s">
        <v>26</v>
      </c>
      <c r="K100" s="1">
        <v>200</v>
      </c>
      <c r="L100" s="1">
        <v>13916</v>
      </c>
      <c r="M100" s="2">
        <f t="shared" si="17"/>
        <v>2783200</v>
      </c>
      <c r="N100" s="1">
        <v>475927.2</v>
      </c>
      <c r="O100" s="1">
        <f t="shared" si="18"/>
        <v>3259127.2</v>
      </c>
      <c r="P100" s="1">
        <v>5805</v>
      </c>
      <c r="Q100" s="1">
        <f t="shared" si="19"/>
        <v>3253322.2</v>
      </c>
      <c r="R100" s="1">
        <f t="shared" si="25"/>
        <v>1609020</v>
      </c>
      <c r="S100" s="1">
        <f t="shared" si="21"/>
        <v>459720</v>
      </c>
      <c r="T100" s="1">
        <f t="shared" si="20"/>
        <v>229860</v>
      </c>
      <c r="U100" s="1">
        <v>2298600</v>
      </c>
      <c r="V100" s="1">
        <f t="shared" si="16"/>
        <v>954722.20000000019</v>
      </c>
      <c r="W100" s="1">
        <v>3.5</v>
      </c>
    </row>
    <row r="101" spans="1:23" x14ac:dyDescent="0.25">
      <c r="A101" s="1" t="s">
        <v>155</v>
      </c>
      <c r="B101" s="1" t="s">
        <v>37</v>
      </c>
      <c r="C101" s="1" t="s">
        <v>408</v>
      </c>
      <c r="D101" s="1" t="s">
        <v>22</v>
      </c>
      <c r="E101" s="1" t="s">
        <v>23</v>
      </c>
      <c r="F101" s="1" t="s">
        <v>24</v>
      </c>
      <c r="G101" s="1" t="s">
        <v>44</v>
      </c>
      <c r="H101" s="1" t="s">
        <v>398</v>
      </c>
      <c r="I101" s="1" t="s">
        <v>19</v>
      </c>
      <c r="J101" s="1" t="s">
        <v>46</v>
      </c>
      <c r="K101" s="1">
        <v>106</v>
      </c>
      <c r="L101" s="1">
        <v>10877</v>
      </c>
      <c r="M101" s="2">
        <f t="shared" si="17"/>
        <v>1152962</v>
      </c>
      <c r="N101" s="1">
        <v>176403.19</v>
      </c>
      <c r="O101" s="1">
        <f t="shared" si="18"/>
        <v>1329365.19</v>
      </c>
      <c r="P101" s="1">
        <v>8698</v>
      </c>
      <c r="Q101" s="1">
        <f t="shared" si="19"/>
        <v>1320667.19</v>
      </c>
      <c r="R101" s="1">
        <v>401846</v>
      </c>
      <c r="S101" s="1">
        <f t="shared" si="21"/>
        <v>160738.40000000002</v>
      </c>
      <c r="T101" s="1">
        <f t="shared" si="20"/>
        <v>241107.59999999998</v>
      </c>
      <c r="U101" s="1">
        <v>803692</v>
      </c>
      <c r="V101" s="1">
        <f t="shared" si="16"/>
        <v>516975.18999999994</v>
      </c>
      <c r="W101" s="1">
        <v>3.7</v>
      </c>
    </row>
    <row r="102" spans="1:23" x14ac:dyDescent="0.25">
      <c r="A102" s="1" t="s">
        <v>156</v>
      </c>
      <c r="B102" s="1" t="s">
        <v>32</v>
      </c>
      <c r="C102" s="1" t="s">
        <v>408</v>
      </c>
      <c r="D102" s="1" t="s">
        <v>55</v>
      </c>
      <c r="E102" s="1" t="s">
        <v>56</v>
      </c>
      <c r="F102" s="1" t="s">
        <v>29</v>
      </c>
      <c r="G102" s="1" t="s">
        <v>30</v>
      </c>
      <c r="H102" s="1" t="s">
        <v>398</v>
      </c>
      <c r="I102" s="1" t="s">
        <v>39</v>
      </c>
      <c r="J102" s="1" t="s">
        <v>26</v>
      </c>
      <c r="K102" s="1">
        <v>173</v>
      </c>
      <c r="L102" s="1">
        <v>15162</v>
      </c>
      <c r="M102" s="2">
        <f t="shared" si="17"/>
        <v>2623026</v>
      </c>
      <c r="N102" s="1">
        <v>448537.45</v>
      </c>
      <c r="O102" s="1">
        <f t="shared" si="18"/>
        <v>3071563.45</v>
      </c>
      <c r="P102" s="1">
        <v>7835</v>
      </c>
      <c r="Q102" s="1">
        <f t="shared" si="19"/>
        <v>3063728.45</v>
      </c>
      <c r="R102" s="1">
        <v>1235609.25</v>
      </c>
      <c r="S102" s="1">
        <f>U102*0.1</f>
        <v>164747.90000000002</v>
      </c>
      <c r="T102" s="1">
        <f t="shared" si="20"/>
        <v>247121.85000000009</v>
      </c>
      <c r="U102" s="1">
        <v>1647479</v>
      </c>
      <c r="V102" s="1">
        <f t="shared" si="16"/>
        <v>1416249.4500000002</v>
      </c>
      <c r="W102" s="1">
        <v>4.3</v>
      </c>
    </row>
    <row r="103" spans="1:23" x14ac:dyDescent="0.25">
      <c r="A103" s="1" t="s">
        <v>157</v>
      </c>
      <c r="B103" s="1" t="s">
        <v>69</v>
      </c>
      <c r="C103" s="1" t="s">
        <v>408</v>
      </c>
      <c r="D103" s="1" t="s">
        <v>55</v>
      </c>
      <c r="E103" s="1" t="s">
        <v>56</v>
      </c>
      <c r="F103" s="1" t="s">
        <v>17</v>
      </c>
      <c r="G103" s="1" t="s">
        <v>18</v>
      </c>
      <c r="H103" s="1" t="s">
        <v>398</v>
      </c>
      <c r="I103" s="1" t="s">
        <v>396</v>
      </c>
      <c r="J103" s="1" t="s">
        <v>46</v>
      </c>
      <c r="K103" s="1">
        <v>51</v>
      </c>
      <c r="L103" s="1">
        <v>26147</v>
      </c>
      <c r="M103" s="2">
        <f t="shared" si="17"/>
        <v>1333497</v>
      </c>
      <c r="N103" s="1">
        <v>211225.92</v>
      </c>
      <c r="O103" s="1">
        <f t="shared" si="18"/>
        <v>1544722.92</v>
      </c>
      <c r="P103" s="1">
        <v>9428</v>
      </c>
      <c r="Q103" s="1">
        <f t="shared" si="19"/>
        <v>1535294.92</v>
      </c>
      <c r="R103" s="1">
        <f>0.62*U103</f>
        <v>549081.30000000005</v>
      </c>
      <c r="S103" s="1">
        <f>U103*0.2</f>
        <v>177123</v>
      </c>
      <c r="T103" s="1">
        <f t="shared" si="20"/>
        <v>159410.69999999995</v>
      </c>
      <c r="U103" s="1">
        <v>885615</v>
      </c>
      <c r="V103" s="1">
        <f t="shared" si="16"/>
        <v>649679.91999999993</v>
      </c>
      <c r="W103" s="1">
        <v>3.7</v>
      </c>
    </row>
    <row r="104" spans="1:23" x14ac:dyDescent="0.25">
      <c r="A104" s="1" t="s">
        <v>158</v>
      </c>
      <c r="B104" s="1" t="s">
        <v>58</v>
      </c>
      <c r="C104" s="1" t="s">
        <v>408</v>
      </c>
      <c r="D104" s="1" t="s">
        <v>55</v>
      </c>
      <c r="E104" s="1" t="s">
        <v>56</v>
      </c>
      <c r="F104" s="1" t="s">
        <v>59</v>
      </c>
      <c r="G104" s="1" t="s">
        <v>60</v>
      </c>
      <c r="H104" s="1" t="s">
        <v>398</v>
      </c>
      <c r="I104" s="1" t="s">
        <v>19</v>
      </c>
      <c r="J104" s="1" t="s">
        <v>46</v>
      </c>
      <c r="K104" s="1">
        <v>13</v>
      </c>
      <c r="L104" s="1">
        <v>15160</v>
      </c>
      <c r="M104" s="2">
        <f t="shared" si="17"/>
        <v>197080</v>
      </c>
      <c r="N104" s="1">
        <v>31217.47</v>
      </c>
      <c r="O104" s="1">
        <f t="shared" si="18"/>
        <v>228297.47</v>
      </c>
      <c r="P104" s="1">
        <v>6934</v>
      </c>
      <c r="Q104" s="1">
        <f t="shared" si="19"/>
        <v>221363.47</v>
      </c>
      <c r="R104" s="1">
        <f t="shared" ref="R104:R105" si="26">0.7*U104</f>
        <v>86295.299999999988</v>
      </c>
      <c r="S104" s="1">
        <f t="shared" si="21"/>
        <v>24655.800000000003</v>
      </c>
      <c r="T104" s="1">
        <f t="shared" si="20"/>
        <v>12327.900000000009</v>
      </c>
      <c r="U104" s="1">
        <v>123279</v>
      </c>
      <c r="V104" s="1">
        <f t="shared" si="16"/>
        <v>98084.47</v>
      </c>
      <c r="W104" s="1">
        <v>3.7</v>
      </c>
    </row>
    <row r="105" spans="1:23" x14ac:dyDescent="0.25">
      <c r="A105" s="1" t="s">
        <v>100</v>
      </c>
      <c r="B105" s="1" t="s">
        <v>69</v>
      </c>
      <c r="C105" s="1" t="s">
        <v>408</v>
      </c>
      <c r="D105" s="1" t="s">
        <v>74</v>
      </c>
      <c r="E105" s="1" t="s">
        <v>56</v>
      </c>
      <c r="F105" s="1" t="s">
        <v>59</v>
      </c>
      <c r="G105" s="1" t="s">
        <v>121</v>
      </c>
      <c r="H105" s="1" t="s">
        <v>398</v>
      </c>
      <c r="I105" s="1" t="s">
        <v>395</v>
      </c>
      <c r="J105" s="1" t="s">
        <v>26</v>
      </c>
      <c r="K105" s="1">
        <v>10</v>
      </c>
      <c r="L105" s="1">
        <v>7705</v>
      </c>
      <c r="M105" s="2">
        <f t="shared" si="17"/>
        <v>77050</v>
      </c>
      <c r="N105" s="1">
        <v>12759.48</v>
      </c>
      <c r="O105" s="1">
        <f t="shared" si="18"/>
        <v>89809.48</v>
      </c>
      <c r="P105" s="1">
        <v>7034</v>
      </c>
      <c r="Q105" s="1">
        <f t="shared" si="19"/>
        <v>82775.48</v>
      </c>
      <c r="R105" s="1">
        <f t="shared" si="26"/>
        <v>42021</v>
      </c>
      <c r="S105" s="1">
        <f t="shared" si="21"/>
        <v>12006</v>
      </c>
      <c r="T105" s="1">
        <f t="shared" si="20"/>
        <v>6003</v>
      </c>
      <c r="U105" s="1">
        <v>60030</v>
      </c>
      <c r="V105" s="1">
        <f t="shared" si="16"/>
        <v>22745.479999999996</v>
      </c>
      <c r="W105" s="1">
        <v>4.3</v>
      </c>
    </row>
    <row r="106" spans="1:23" x14ac:dyDescent="0.25">
      <c r="A106" s="1" t="s">
        <v>159</v>
      </c>
      <c r="B106" s="1" t="s">
        <v>34</v>
      </c>
      <c r="C106" s="1" t="s">
        <v>408</v>
      </c>
      <c r="D106" s="1" t="s">
        <v>78</v>
      </c>
      <c r="E106" s="1" t="s">
        <v>49</v>
      </c>
      <c r="F106" s="1" t="s">
        <v>17</v>
      </c>
      <c r="G106" s="1" t="s">
        <v>75</v>
      </c>
      <c r="H106" s="1" t="s">
        <v>398</v>
      </c>
      <c r="I106" s="1" t="s">
        <v>39</v>
      </c>
      <c r="J106" s="1" t="s">
        <v>26</v>
      </c>
      <c r="K106" s="1">
        <v>196</v>
      </c>
      <c r="L106" s="1">
        <v>9780</v>
      </c>
      <c r="M106" s="2">
        <f t="shared" si="17"/>
        <v>1916880</v>
      </c>
      <c r="N106" s="1">
        <v>303633.78999999998</v>
      </c>
      <c r="O106" s="1">
        <f t="shared" si="18"/>
        <v>2220513.79</v>
      </c>
      <c r="P106" s="1">
        <v>5881</v>
      </c>
      <c r="Q106" s="1">
        <f t="shared" si="19"/>
        <v>2214632.79</v>
      </c>
      <c r="R106" s="1">
        <f t="shared" ref="R106:R108" si="27">0.62*U106</f>
        <v>781738.16</v>
      </c>
      <c r="S106" s="1">
        <f t="shared" si="21"/>
        <v>252173.6</v>
      </c>
      <c r="T106" s="1">
        <f t="shared" si="20"/>
        <v>226956.24</v>
      </c>
      <c r="U106" s="1">
        <v>1260868</v>
      </c>
      <c r="V106" s="1">
        <f t="shared" si="16"/>
        <v>953764.79</v>
      </c>
      <c r="W106" s="1">
        <v>3.6</v>
      </c>
    </row>
    <row r="107" spans="1:23" x14ac:dyDescent="0.25">
      <c r="A107" s="1" t="s">
        <v>160</v>
      </c>
      <c r="B107" s="1" t="s">
        <v>37</v>
      </c>
      <c r="C107" s="1" t="s">
        <v>408</v>
      </c>
      <c r="D107" s="1" t="s">
        <v>78</v>
      </c>
      <c r="E107" s="1" t="s">
        <v>49</v>
      </c>
      <c r="F107" s="1" t="s">
        <v>17</v>
      </c>
      <c r="G107" s="1" t="s">
        <v>75</v>
      </c>
      <c r="H107" s="1" t="s">
        <v>398</v>
      </c>
      <c r="I107" s="1" t="s">
        <v>396</v>
      </c>
      <c r="J107" s="1" t="s">
        <v>26</v>
      </c>
      <c r="K107" s="1">
        <v>162</v>
      </c>
      <c r="L107" s="1">
        <v>6490</v>
      </c>
      <c r="M107" s="2">
        <f t="shared" si="17"/>
        <v>1051380</v>
      </c>
      <c r="N107" s="1">
        <v>166538.59</v>
      </c>
      <c r="O107" s="1">
        <f t="shared" si="18"/>
        <v>1217918.5900000001</v>
      </c>
      <c r="P107" s="1">
        <v>7172</v>
      </c>
      <c r="Q107" s="1">
        <f t="shared" si="19"/>
        <v>1210746.5900000001</v>
      </c>
      <c r="R107" s="1">
        <f t="shared" si="27"/>
        <v>496474.92</v>
      </c>
      <c r="S107" s="1">
        <f t="shared" si="21"/>
        <v>160153.20000000001</v>
      </c>
      <c r="T107" s="1">
        <f t="shared" si="20"/>
        <v>144137.88000000006</v>
      </c>
      <c r="U107" s="1">
        <v>800766</v>
      </c>
      <c r="V107" s="1">
        <f t="shared" si="16"/>
        <v>409980.59000000008</v>
      </c>
      <c r="W107" s="1">
        <v>3.5</v>
      </c>
    </row>
    <row r="108" spans="1:23" x14ac:dyDescent="0.25">
      <c r="A108" s="1" t="s">
        <v>161</v>
      </c>
      <c r="B108" s="1" t="s">
        <v>58</v>
      </c>
      <c r="C108" s="1" t="s">
        <v>408</v>
      </c>
      <c r="D108" s="1" t="s">
        <v>42</v>
      </c>
      <c r="E108" s="1" t="s">
        <v>43</v>
      </c>
      <c r="F108" s="1" t="s">
        <v>17</v>
      </c>
      <c r="G108" s="1" t="s">
        <v>38</v>
      </c>
      <c r="H108" s="1" t="s">
        <v>398</v>
      </c>
      <c r="I108" s="1" t="s">
        <v>19</v>
      </c>
      <c r="J108" s="1" t="s">
        <v>26</v>
      </c>
      <c r="K108" s="1">
        <v>194</v>
      </c>
      <c r="L108" s="1">
        <v>16304</v>
      </c>
      <c r="M108" s="2">
        <f t="shared" si="17"/>
        <v>3162976</v>
      </c>
      <c r="N108" s="1">
        <v>483935.33</v>
      </c>
      <c r="O108" s="1">
        <f t="shared" si="18"/>
        <v>3646911.33</v>
      </c>
      <c r="P108" s="1">
        <v>7013</v>
      </c>
      <c r="Q108" s="1">
        <f t="shared" si="19"/>
        <v>3639898.33</v>
      </c>
      <c r="R108" s="1">
        <f t="shared" si="27"/>
        <v>1631598.2</v>
      </c>
      <c r="S108" s="1">
        <f t="shared" si="21"/>
        <v>526322</v>
      </c>
      <c r="T108" s="1">
        <f t="shared" si="20"/>
        <v>473689.80000000005</v>
      </c>
      <c r="U108" s="1">
        <v>2631610</v>
      </c>
      <c r="V108" s="1">
        <f t="shared" si="16"/>
        <v>1008288.3300000001</v>
      </c>
      <c r="W108" s="1">
        <v>3.9</v>
      </c>
    </row>
    <row r="109" spans="1:23" x14ac:dyDescent="0.25">
      <c r="A109" s="1" t="s">
        <v>138</v>
      </c>
      <c r="B109" s="1" t="s">
        <v>41</v>
      </c>
      <c r="C109" s="1" t="s">
        <v>408</v>
      </c>
      <c r="D109" s="1" t="s">
        <v>78</v>
      </c>
      <c r="E109" s="1" t="s">
        <v>49</v>
      </c>
      <c r="F109" s="1" t="s">
        <v>29</v>
      </c>
      <c r="G109" s="1" t="s">
        <v>53</v>
      </c>
      <c r="H109" s="1" t="s">
        <v>399</v>
      </c>
      <c r="I109" s="1" t="s">
        <v>396</v>
      </c>
      <c r="J109" s="1" t="s">
        <v>46</v>
      </c>
      <c r="K109" s="1">
        <v>58</v>
      </c>
      <c r="L109" s="1">
        <v>36003</v>
      </c>
      <c r="M109" s="2">
        <f t="shared" si="17"/>
        <v>2088174</v>
      </c>
      <c r="N109" s="1">
        <v>319490.62</v>
      </c>
      <c r="O109" s="1">
        <f t="shared" si="18"/>
        <v>2407664.62</v>
      </c>
      <c r="P109" s="1">
        <v>5872</v>
      </c>
      <c r="Q109" s="1">
        <f t="shared" si="19"/>
        <v>2401792.62</v>
      </c>
      <c r="R109" s="1">
        <v>693825</v>
      </c>
      <c r="S109" s="1">
        <f>U109*0.1</f>
        <v>138765</v>
      </c>
      <c r="T109" s="1">
        <f t="shared" si="20"/>
        <v>555060</v>
      </c>
      <c r="U109" s="1">
        <v>1387650</v>
      </c>
      <c r="V109" s="1">
        <f t="shared" si="16"/>
        <v>1014142.6200000001</v>
      </c>
      <c r="W109" s="1">
        <v>4.5999999999999996</v>
      </c>
    </row>
    <row r="110" spans="1:23" x14ac:dyDescent="0.25">
      <c r="A110" s="1" t="s">
        <v>65</v>
      </c>
      <c r="B110" s="1" t="s">
        <v>14</v>
      </c>
      <c r="C110" s="1" t="s">
        <v>408</v>
      </c>
      <c r="D110" s="1" t="s">
        <v>15</v>
      </c>
      <c r="E110" s="1" t="s">
        <v>16</v>
      </c>
      <c r="F110" s="1" t="s">
        <v>24</v>
      </c>
      <c r="G110" s="1" t="s">
        <v>63</v>
      </c>
      <c r="H110" s="1" t="s">
        <v>398</v>
      </c>
      <c r="I110" s="1" t="s">
        <v>397</v>
      </c>
      <c r="J110" s="1" t="s">
        <v>46</v>
      </c>
      <c r="K110" s="1">
        <v>25</v>
      </c>
      <c r="L110" s="1">
        <v>5196</v>
      </c>
      <c r="M110" s="2">
        <f t="shared" si="17"/>
        <v>129900</v>
      </c>
      <c r="N110" s="1">
        <v>21511.439999999999</v>
      </c>
      <c r="O110" s="1">
        <f t="shared" si="18"/>
        <v>151411.44</v>
      </c>
      <c r="P110" s="1">
        <v>5320</v>
      </c>
      <c r="Q110" s="1">
        <f t="shared" si="19"/>
        <v>146091.44</v>
      </c>
      <c r="R110" s="1">
        <v>50962.5</v>
      </c>
      <c r="S110" s="1">
        <f t="shared" si="21"/>
        <v>20385</v>
      </c>
      <c r="T110" s="1">
        <f t="shared" si="20"/>
        <v>30577.5</v>
      </c>
      <c r="U110" s="1">
        <v>101925</v>
      </c>
      <c r="V110" s="1">
        <f t="shared" si="16"/>
        <v>44166.44</v>
      </c>
      <c r="W110" s="1">
        <v>3.6</v>
      </c>
    </row>
    <row r="111" spans="1:23" x14ac:dyDescent="0.25">
      <c r="A111" s="1" t="s">
        <v>20</v>
      </c>
      <c r="B111" s="1" t="s">
        <v>51</v>
      </c>
      <c r="C111" s="1" t="s">
        <v>408</v>
      </c>
      <c r="D111" s="1" t="s">
        <v>42</v>
      </c>
      <c r="E111" s="1" t="s">
        <v>43</v>
      </c>
      <c r="F111" s="1" t="s">
        <v>59</v>
      </c>
      <c r="G111" s="1" t="s">
        <v>121</v>
      </c>
      <c r="H111" s="1" t="s">
        <v>398</v>
      </c>
      <c r="I111" s="1" t="s">
        <v>39</v>
      </c>
      <c r="J111" s="1" t="s">
        <v>26</v>
      </c>
      <c r="K111" s="1">
        <v>178</v>
      </c>
      <c r="L111" s="1">
        <v>21756</v>
      </c>
      <c r="M111" s="2">
        <f t="shared" si="17"/>
        <v>3872568</v>
      </c>
      <c r="N111" s="1">
        <v>613414.77</v>
      </c>
      <c r="O111" s="1">
        <f t="shared" si="18"/>
        <v>4485982.7699999996</v>
      </c>
      <c r="P111" s="1">
        <v>7027</v>
      </c>
      <c r="Q111" s="1">
        <f t="shared" si="19"/>
        <v>4478955.7699999996</v>
      </c>
      <c r="R111" s="1">
        <f>0.7*U111</f>
        <v>1909494.9999999998</v>
      </c>
      <c r="S111" s="1">
        <f t="shared" si="21"/>
        <v>545570</v>
      </c>
      <c r="T111" s="1">
        <f t="shared" si="20"/>
        <v>272785.00000000023</v>
      </c>
      <c r="U111" s="1">
        <v>2727850</v>
      </c>
      <c r="V111" s="1">
        <f t="shared" si="16"/>
        <v>1751105.7699999996</v>
      </c>
      <c r="W111" s="1">
        <v>3.7</v>
      </c>
    </row>
    <row r="112" spans="1:23" x14ac:dyDescent="0.25">
      <c r="A112" s="1" t="s">
        <v>94</v>
      </c>
      <c r="B112" s="1" t="s">
        <v>109</v>
      </c>
      <c r="C112" s="1" t="s">
        <v>408</v>
      </c>
      <c r="D112" s="1" t="s">
        <v>48</v>
      </c>
      <c r="E112" s="1" t="s">
        <v>49</v>
      </c>
      <c r="F112" s="1" t="s">
        <v>17</v>
      </c>
      <c r="G112" s="1" t="s">
        <v>75</v>
      </c>
      <c r="H112" s="1" t="s">
        <v>399</v>
      </c>
      <c r="I112" s="1" t="s">
        <v>19</v>
      </c>
      <c r="J112" s="1" t="s">
        <v>46</v>
      </c>
      <c r="K112" s="1">
        <v>79</v>
      </c>
      <c r="L112" s="1">
        <v>26487</v>
      </c>
      <c r="M112" s="2">
        <f t="shared" si="17"/>
        <v>2092473</v>
      </c>
      <c r="N112" s="1">
        <v>331447.71999999997</v>
      </c>
      <c r="O112" s="1">
        <f t="shared" si="18"/>
        <v>2423920.7199999997</v>
      </c>
      <c r="P112" s="1">
        <v>7585</v>
      </c>
      <c r="Q112" s="1">
        <f t="shared" si="19"/>
        <v>2416335.7199999997</v>
      </c>
      <c r="R112" s="1">
        <f>0.62*U112</f>
        <v>1052188.3600000001</v>
      </c>
      <c r="S112" s="1">
        <f>U112*0.2</f>
        <v>339415.60000000003</v>
      </c>
      <c r="T112" s="1">
        <f t="shared" si="20"/>
        <v>305474.0399999998</v>
      </c>
      <c r="U112" s="1">
        <v>1697078</v>
      </c>
      <c r="V112" s="1">
        <f t="shared" si="16"/>
        <v>719257.71999999974</v>
      </c>
      <c r="W112" s="1">
        <v>4.7</v>
      </c>
    </row>
    <row r="113" spans="1:23" x14ac:dyDescent="0.25">
      <c r="A113" s="1" t="s">
        <v>162</v>
      </c>
      <c r="B113" s="1" t="s">
        <v>51</v>
      </c>
      <c r="C113" s="1" t="s">
        <v>408</v>
      </c>
      <c r="D113" s="1" t="s">
        <v>52</v>
      </c>
      <c r="E113" s="1" t="s">
        <v>23</v>
      </c>
      <c r="F113" s="1" t="s">
        <v>59</v>
      </c>
      <c r="G113" s="1" t="s">
        <v>121</v>
      </c>
      <c r="H113" s="1" t="s">
        <v>399</v>
      </c>
      <c r="I113" s="1" t="s">
        <v>397</v>
      </c>
      <c r="J113" s="1" t="s">
        <v>46</v>
      </c>
      <c r="K113" s="1">
        <v>63</v>
      </c>
      <c r="L113" s="1">
        <v>25194</v>
      </c>
      <c r="M113" s="2">
        <f t="shared" si="17"/>
        <v>1587222</v>
      </c>
      <c r="N113" s="1">
        <v>242844.97</v>
      </c>
      <c r="O113" s="1">
        <f t="shared" si="18"/>
        <v>1830066.97</v>
      </c>
      <c r="P113" s="1">
        <v>9863</v>
      </c>
      <c r="Q113" s="1">
        <f t="shared" si="19"/>
        <v>1820203.97</v>
      </c>
      <c r="R113" s="1">
        <f>0.7*U113</f>
        <v>696868.2</v>
      </c>
      <c r="S113" s="1">
        <f t="shared" si="21"/>
        <v>199105.2</v>
      </c>
      <c r="T113" s="1">
        <f t="shared" si="20"/>
        <v>99552.600000000093</v>
      </c>
      <c r="U113" s="1">
        <v>995526</v>
      </c>
      <c r="V113" s="1">
        <f t="shared" si="16"/>
        <v>824677.97</v>
      </c>
      <c r="W113" s="1">
        <v>4.5</v>
      </c>
    </row>
    <row r="114" spans="1:23" x14ac:dyDescent="0.25">
      <c r="A114" s="1" t="s">
        <v>105</v>
      </c>
      <c r="B114" s="1" t="s">
        <v>14</v>
      </c>
      <c r="C114" s="1" t="s">
        <v>408</v>
      </c>
      <c r="D114" s="1" t="s">
        <v>55</v>
      </c>
      <c r="E114" s="1" t="s">
        <v>56</v>
      </c>
      <c r="F114" s="1" t="s">
        <v>24</v>
      </c>
      <c r="G114" s="1" t="s">
        <v>25</v>
      </c>
      <c r="H114" s="1" t="s">
        <v>399</v>
      </c>
      <c r="I114" s="1" t="s">
        <v>396</v>
      </c>
      <c r="J114" s="1" t="s">
        <v>26</v>
      </c>
      <c r="K114" s="1">
        <v>188</v>
      </c>
      <c r="L114" s="1">
        <v>13268</v>
      </c>
      <c r="M114" s="2">
        <f t="shared" si="17"/>
        <v>2494384</v>
      </c>
      <c r="N114" s="1">
        <v>426539.66</v>
      </c>
      <c r="O114" s="1">
        <f t="shared" si="18"/>
        <v>2920923.66</v>
      </c>
      <c r="P114" s="1">
        <v>5257</v>
      </c>
      <c r="Q114" s="1">
        <f t="shared" si="19"/>
        <v>2915666.66</v>
      </c>
      <c r="R114" s="1">
        <v>1410141</v>
      </c>
      <c r="S114" s="1">
        <f t="shared" si="21"/>
        <v>376037.60000000003</v>
      </c>
      <c r="T114" s="1">
        <f t="shared" si="20"/>
        <v>94009.399999999907</v>
      </c>
      <c r="U114" s="1">
        <v>1880188</v>
      </c>
      <c r="V114" s="1">
        <f t="shared" si="16"/>
        <v>1035478.6600000001</v>
      </c>
      <c r="W114" s="1">
        <v>3.7</v>
      </c>
    </row>
    <row r="115" spans="1:23" x14ac:dyDescent="0.25">
      <c r="A115" s="1" t="s">
        <v>163</v>
      </c>
      <c r="B115" s="1" t="s">
        <v>51</v>
      </c>
      <c r="C115" s="1" t="s">
        <v>408</v>
      </c>
      <c r="D115" s="1" t="s">
        <v>62</v>
      </c>
      <c r="E115" s="1" t="s">
        <v>43</v>
      </c>
      <c r="F115" s="1" t="s">
        <v>59</v>
      </c>
      <c r="G115" s="1" t="s">
        <v>85</v>
      </c>
      <c r="H115" s="1" t="s">
        <v>398</v>
      </c>
      <c r="I115" s="1" t="s">
        <v>395</v>
      </c>
      <c r="J115" s="1" t="s">
        <v>46</v>
      </c>
      <c r="K115" s="1">
        <v>28</v>
      </c>
      <c r="L115" s="1">
        <v>11914</v>
      </c>
      <c r="M115" s="2">
        <f t="shared" si="17"/>
        <v>333592</v>
      </c>
      <c r="N115" s="1">
        <v>60046.559999999998</v>
      </c>
      <c r="O115" s="1">
        <f t="shared" si="18"/>
        <v>393638.56</v>
      </c>
      <c r="P115" s="1">
        <v>6681</v>
      </c>
      <c r="Q115" s="1">
        <f t="shared" si="19"/>
        <v>386957.56</v>
      </c>
      <c r="R115" s="1">
        <f>0.7*U115</f>
        <v>151390.39999999999</v>
      </c>
      <c r="S115" s="1">
        <f t="shared" si="21"/>
        <v>43254.400000000001</v>
      </c>
      <c r="T115" s="1">
        <f t="shared" si="20"/>
        <v>21627.200000000012</v>
      </c>
      <c r="U115" s="1">
        <v>216272</v>
      </c>
      <c r="V115" s="1">
        <f t="shared" si="16"/>
        <v>170685.56</v>
      </c>
      <c r="W115" s="1">
        <v>3.9</v>
      </c>
    </row>
    <row r="116" spans="1:23" x14ac:dyDescent="0.25">
      <c r="A116" s="1" t="s">
        <v>164</v>
      </c>
      <c r="B116" s="1" t="s">
        <v>69</v>
      </c>
      <c r="C116" s="1" t="s">
        <v>408</v>
      </c>
      <c r="D116" s="1" t="s">
        <v>15</v>
      </c>
      <c r="E116" s="1" t="s">
        <v>16</v>
      </c>
      <c r="F116" s="1" t="s">
        <v>24</v>
      </c>
      <c r="G116" s="1" t="s">
        <v>143</v>
      </c>
      <c r="H116" s="1" t="s">
        <v>399</v>
      </c>
      <c r="I116" s="1" t="s">
        <v>397</v>
      </c>
      <c r="J116" s="1" t="s">
        <v>26</v>
      </c>
      <c r="K116" s="1">
        <v>142</v>
      </c>
      <c r="L116" s="1">
        <v>27310</v>
      </c>
      <c r="M116" s="2">
        <f t="shared" si="17"/>
        <v>3878020</v>
      </c>
      <c r="N116" s="1">
        <v>663141.42000000004</v>
      </c>
      <c r="O116" s="1">
        <f t="shared" si="18"/>
        <v>4541161.42</v>
      </c>
      <c r="P116" s="1">
        <v>6084</v>
      </c>
      <c r="Q116" s="1">
        <f t="shared" si="19"/>
        <v>4535077.42</v>
      </c>
      <c r="R116" s="1">
        <v>1371720</v>
      </c>
      <c r="S116" s="1">
        <f t="shared" si="21"/>
        <v>548688</v>
      </c>
      <c r="T116" s="1">
        <f t="shared" si="20"/>
        <v>823032</v>
      </c>
      <c r="U116" s="1">
        <v>2743440</v>
      </c>
      <c r="V116" s="1">
        <f t="shared" si="16"/>
        <v>1791637.42</v>
      </c>
      <c r="W116" s="1">
        <v>4.4000000000000004</v>
      </c>
    </row>
    <row r="117" spans="1:23" x14ac:dyDescent="0.25">
      <c r="A117" s="1" t="s">
        <v>165</v>
      </c>
      <c r="B117" s="1" t="s">
        <v>109</v>
      </c>
      <c r="C117" s="1" t="s">
        <v>408</v>
      </c>
      <c r="D117" s="1" t="s">
        <v>15</v>
      </c>
      <c r="E117" s="1" t="s">
        <v>16</v>
      </c>
      <c r="F117" s="1" t="s">
        <v>24</v>
      </c>
      <c r="G117" s="1" t="s">
        <v>63</v>
      </c>
      <c r="H117" s="1" t="s">
        <v>398</v>
      </c>
      <c r="I117" s="1" t="s">
        <v>396</v>
      </c>
      <c r="J117" s="1" t="s">
        <v>46</v>
      </c>
      <c r="K117" s="1">
        <v>133</v>
      </c>
      <c r="L117" s="1">
        <v>26922</v>
      </c>
      <c r="M117" s="2">
        <f t="shared" si="17"/>
        <v>3580626</v>
      </c>
      <c r="N117" s="1">
        <v>567171.16</v>
      </c>
      <c r="O117" s="1">
        <f t="shared" si="18"/>
        <v>4147797.16</v>
      </c>
      <c r="P117" s="1">
        <v>6856</v>
      </c>
      <c r="Q117" s="1">
        <f t="shared" si="19"/>
        <v>4140941.16</v>
      </c>
      <c r="R117" s="1">
        <v>1296085</v>
      </c>
      <c r="S117" s="1">
        <f t="shared" si="21"/>
        <v>518434</v>
      </c>
      <c r="T117" s="1">
        <f t="shared" si="20"/>
        <v>777651</v>
      </c>
      <c r="U117" s="1">
        <v>2592170</v>
      </c>
      <c r="V117" s="1">
        <f t="shared" si="16"/>
        <v>1548771.1600000001</v>
      </c>
      <c r="W117" s="1">
        <v>3.6</v>
      </c>
    </row>
    <row r="118" spans="1:23" x14ac:dyDescent="0.25">
      <c r="A118" s="1" t="s">
        <v>166</v>
      </c>
      <c r="B118" s="1" t="s">
        <v>51</v>
      </c>
      <c r="C118" s="1" t="s">
        <v>408</v>
      </c>
      <c r="D118" s="1" t="s">
        <v>74</v>
      </c>
      <c r="E118" s="1" t="s">
        <v>56</v>
      </c>
      <c r="F118" s="1" t="s">
        <v>24</v>
      </c>
      <c r="G118" s="1" t="s">
        <v>63</v>
      </c>
      <c r="H118" s="1" t="s">
        <v>398</v>
      </c>
      <c r="I118" s="1" t="s">
        <v>19</v>
      </c>
      <c r="J118" s="1" t="s">
        <v>26</v>
      </c>
      <c r="K118" s="1">
        <v>127</v>
      </c>
      <c r="L118" s="1">
        <v>28351</v>
      </c>
      <c r="M118" s="2">
        <f t="shared" si="17"/>
        <v>3600577</v>
      </c>
      <c r="N118" s="1">
        <v>570331.4</v>
      </c>
      <c r="O118" s="1">
        <f t="shared" si="18"/>
        <v>4170908.4</v>
      </c>
      <c r="P118" s="1">
        <v>5557</v>
      </c>
      <c r="Q118" s="1">
        <f t="shared" si="19"/>
        <v>4165351.4</v>
      </c>
      <c r="R118" s="1">
        <v>1233424</v>
      </c>
      <c r="S118" s="1">
        <f t="shared" si="21"/>
        <v>493369.60000000003</v>
      </c>
      <c r="T118" s="1">
        <f t="shared" si="20"/>
        <v>740054.39999999991</v>
      </c>
      <c r="U118" s="1">
        <v>2466848</v>
      </c>
      <c r="V118" s="1">
        <f t="shared" si="16"/>
        <v>1698503.4</v>
      </c>
      <c r="W118" s="1">
        <v>4.7</v>
      </c>
    </row>
    <row r="119" spans="1:23" x14ac:dyDescent="0.25">
      <c r="A119" s="1" t="s">
        <v>144</v>
      </c>
      <c r="B119" s="1" t="s">
        <v>32</v>
      </c>
      <c r="C119" s="1" t="s">
        <v>408</v>
      </c>
      <c r="D119" s="1" t="s">
        <v>42</v>
      </c>
      <c r="E119" s="1" t="s">
        <v>43</v>
      </c>
      <c r="F119" s="1" t="s">
        <v>29</v>
      </c>
      <c r="G119" s="1" t="s">
        <v>87</v>
      </c>
      <c r="H119" s="1" t="s">
        <v>399</v>
      </c>
      <c r="I119" s="1" t="s">
        <v>39</v>
      </c>
      <c r="J119" s="1" t="s">
        <v>46</v>
      </c>
      <c r="K119" s="1">
        <v>34</v>
      </c>
      <c r="L119" s="1">
        <v>20487</v>
      </c>
      <c r="M119" s="2">
        <f t="shared" si="17"/>
        <v>696558</v>
      </c>
      <c r="N119" s="1">
        <v>125380.44</v>
      </c>
      <c r="O119" s="1">
        <f t="shared" si="18"/>
        <v>821938.44</v>
      </c>
      <c r="P119" s="1">
        <v>8416</v>
      </c>
      <c r="Q119" s="1">
        <f t="shared" si="19"/>
        <v>813522.44</v>
      </c>
      <c r="R119" s="1">
        <v>137606.5</v>
      </c>
      <c r="S119" s="1">
        <f>U119*0.1</f>
        <v>55042.600000000006</v>
      </c>
      <c r="T119" s="1">
        <f t="shared" si="20"/>
        <v>357776.9</v>
      </c>
      <c r="U119" s="1">
        <v>550426</v>
      </c>
      <c r="V119" s="1">
        <f t="shared" si="16"/>
        <v>263096.43999999994</v>
      </c>
      <c r="W119" s="1">
        <v>4.5999999999999996</v>
      </c>
    </row>
    <row r="120" spans="1:23" x14ac:dyDescent="0.25">
      <c r="A120" s="1" t="s">
        <v>64</v>
      </c>
      <c r="B120" s="1" t="s">
        <v>14</v>
      </c>
      <c r="C120" s="1" t="s">
        <v>408</v>
      </c>
      <c r="D120" s="1" t="s">
        <v>74</v>
      </c>
      <c r="E120" s="1" t="s">
        <v>56</v>
      </c>
      <c r="F120" s="1" t="s">
        <v>59</v>
      </c>
      <c r="G120" s="1" t="s">
        <v>85</v>
      </c>
      <c r="H120" s="1" t="s">
        <v>398</v>
      </c>
      <c r="I120" s="1" t="s">
        <v>395</v>
      </c>
      <c r="J120" s="1" t="s">
        <v>26</v>
      </c>
      <c r="K120" s="1">
        <v>184</v>
      </c>
      <c r="L120" s="1">
        <v>6760</v>
      </c>
      <c r="M120" s="2">
        <f t="shared" si="17"/>
        <v>1243840</v>
      </c>
      <c r="N120" s="1">
        <v>223891.20000000001</v>
      </c>
      <c r="O120" s="1">
        <f t="shared" si="18"/>
        <v>1467731.2</v>
      </c>
      <c r="P120" s="1">
        <v>9506</v>
      </c>
      <c r="Q120" s="1">
        <f t="shared" si="19"/>
        <v>1458225.2</v>
      </c>
      <c r="R120" s="1">
        <f>0.7*U120</f>
        <v>601367.19999999995</v>
      </c>
      <c r="S120" s="1">
        <f t="shared" si="21"/>
        <v>171819.2</v>
      </c>
      <c r="T120" s="1">
        <f t="shared" si="20"/>
        <v>85909.600000000093</v>
      </c>
      <c r="U120" s="1">
        <v>859096</v>
      </c>
      <c r="V120" s="1">
        <f t="shared" si="16"/>
        <v>599129.19999999995</v>
      </c>
      <c r="W120" s="1">
        <v>4.3</v>
      </c>
    </row>
    <row r="121" spans="1:23" x14ac:dyDescent="0.25">
      <c r="A121" s="1" t="s">
        <v>167</v>
      </c>
      <c r="B121" s="1" t="s">
        <v>41</v>
      </c>
      <c r="C121" s="1" t="s">
        <v>408</v>
      </c>
      <c r="D121" s="1" t="s">
        <v>78</v>
      </c>
      <c r="E121" s="1" t="s">
        <v>49</v>
      </c>
      <c r="F121" s="1" t="s">
        <v>29</v>
      </c>
      <c r="G121" s="1" t="s">
        <v>91</v>
      </c>
      <c r="H121" s="1" t="s">
        <v>398</v>
      </c>
      <c r="I121" s="1" t="s">
        <v>396</v>
      </c>
      <c r="J121" s="1" t="s">
        <v>46</v>
      </c>
      <c r="K121" s="1">
        <v>107</v>
      </c>
      <c r="L121" s="1">
        <v>16764</v>
      </c>
      <c r="M121" s="2">
        <f t="shared" si="17"/>
        <v>1793748</v>
      </c>
      <c r="N121" s="1">
        <v>322874.64</v>
      </c>
      <c r="O121" s="1">
        <f t="shared" si="18"/>
        <v>2116622.64</v>
      </c>
      <c r="P121" s="1">
        <v>6526</v>
      </c>
      <c r="Q121" s="1">
        <f t="shared" si="19"/>
        <v>2110096.64</v>
      </c>
      <c r="R121" s="1">
        <v>297192.5</v>
      </c>
      <c r="S121" s="1">
        <f>U121*0.1</f>
        <v>118877</v>
      </c>
      <c r="T121" s="1">
        <f t="shared" si="20"/>
        <v>772700.5</v>
      </c>
      <c r="U121" s="1">
        <v>1188770</v>
      </c>
      <c r="V121" s="1">
        <f t="shared" si="16"/>
        <v>921326.64000000013</v>
      </c>
      <c r="W121" s="1">
        <v>4.0999999999999996</v>
      </c>
    </row>
    <row r="122" spans="1:23" x14ac:dyDescent="0.25">
      <c r="A122" s="1" t="s">
        <v>168</v>
      </c>
      <c r="B122" s="1" t="s">
        <v>14</v>
      </c>
      <c r="C122" s="1" t="s">
        <v>408</v>
      </c>
      <c r="D122" s="1" t="s">
        <v>52</v>
      </c>
      <c r="E122" s="1" t="s">
        <v>23</v>
      </c>
      <c r="F122" s="1" t="s">
        <v>17</v>
      </c>
      <c r="G122" s="1" t="s">
        <v>18</v>
      </c>
      <c r="H122" s="1" t="s">
        <v>398</v>
      </c>
      <c r="I122" s="1" t="s">
        <v>396</v>
      </c>
      <c r="J122" s="1" t="s">
        <v>26</v>
      </c>
      <c r="K122" s="1">
        <v>114</v>
      </c>
      <c r="L122" s="1">
        <v>23711</v>
      </c>
      <c r="M122" s="2">
        <f t="shared" si="17"/>
        <v>2703054</v>
      </c>
      <c r="N122" s="1">
        <v>413567.26</v>
      </c>
      <c r="O122" s="1">
        <f t="shared" si="18"/>
        <v>3116621.26</v>
      </c>
      <c r="P122" s="1">
        <v>8183</v>
      </c>
      <c r="Q122" s="1">
        <f t="shared" si="19"/>
        <v>3108438.26</v>
      </c>
      <c r="R122" s="1">
        <f>0.62*U122</f>
        <v>1253580.48</v>
      </c>
      <c r="S122" s="1">
        <f>U122*0.2</f>
        <v>404380.80000000005</v>
      </c>
      <c r="T122" s="1">
        <f t="shared" si="20"/>
        <v>363942.72</v>
      </c>
      <c r="U122" s="1">
        <v>2021904</v>
      </c>
      <c r="V122" s="1">
        <f t="shared" si="16"/>
        <v>1086534.2599999998</v>
      </c>
      <c r="W122" s="1">
        <v>4.2</v>
      </c>
    </row>
    <row r="123" spans="1:23" x14ac:dyDescent="0.25">
      <c r="A123" s="1" t="s">
        <v>169</v>
      </c>
      <c r="B123" s="1" t="s">
        <v>32</v>
      </c>
      <c r="C123" s="1" t="s">
        <v>408</v>
      </c>
      <c r="D123" s="1" t="s">
        <v>42</v>
      </c>
      <c r="E123" s="1" t="s">
        <v>43</v>
      </c>
      <c r="F123" s="1" t="s">
        <v>59</v>
      </c>
      <c r="G123" s="1" t="s">
        <v>103</v>
      </c>
      <c r="H123" s="1" t="s">
        <v>399</v>
      </c>
      <c r="I123" s="1" t="s">
        <v>39</v>
      </c>
      <c r="J123" s="1" t="s">
        <v>26</v>
      </c>
      <c r="K123" s="1">
        <v>29</v>
      </c>
      <c r="L123" s="1">
        <v>2765</v>
      </c>
      <c r="M123" s="2">
        <f t="shared" si="17"/>
        <v>80185</v>
      </c>
      <c r="N123" s="1">
        <v>13278.64</v>
      </c>
      <c r="O123" s="1">
        <f t="shared" si="18"/>
        <v>93463.64</v>
      </c>
      <c r="P123" s="1">
        <v>9140</v>
      </c>
      <c r="Q123" s="1">
        <f t="shared" si="19"/>
        <v>84323.64</v>
      </c>
      <c r="R123" s="1">
        <f t="shared" ref="R123:R125" si="28">0.7*U123</f>
        <v>36580.6</v>
      </c>
      <c r="S123" s="1">
        <f t="shared" si="21"/>
        <v>10451.6</v>
      </c>
      <c r="T123" s="1">
        <f t="shared" si="20"/>
        <v>5225.8000000000029</v>
      </c>
      <c r="U123" s="1">
        <v>52258</v>
      </c>
      <c r="V123" s="1">
        <f t="shared" si="16"/>
        <v>32065.64</v>
      </c>
      <c r="W123" s="1">
        <v>3.6</v>
      </c>
    </row>
    <row r="124" spans="1:23" x14ac:dyDescent="0.25">
      <c r="A124" s="1" t="s">
        <v>132</v>
      </c>
      <c r="B124" s="1" t="s">
        <v>69</v>
      </c>
      <c r="C124" s="1" t="s">
        <v>408</v>
      </c>
      <c r="D124" s="1" t="s">
        <v>74</v>
      </c>
      <c r="E124" s="1" t="s">
        <v>56</v>
      </c>
      <c r="F124" s="1" t="s">
        <v>59</v>
      </c>
      <c r="G124" s="1" t="s">
        <v>60</v>
      </c>
      <c r="H124" s="1" t="s">
        <v>398</v>
      </c>
      <c r="I124" s="1" t="s">
        <v>39</v>
      </c>
      <c r="J124" s="1" t="s">
        <v>26</v>
      </c>
      <c r="K124" s="1">
        <v>82</v>
      </c>
      <c r="L124" s="1">
        <v>28186</v>
      </c>
      <c r="M124" s="2">
        <f t="shared" si="17"/>
        <v>2311252</v>
      </c>
      <c r="N124" s="1">
        <v>366102.32</v>
      </c>
      <c r="O124" s="1">
        <f t="shared" si="18"/>
        <v>2677354.3199999998</v>
      </c>
      <c r="P124" s="1">
        <v>8392</v>
      </c>
      <c r="Q124" s="1">
        <f t="shared" si="19"/>
        <v>2668962.3199999998</v>
      </c>
      <c r="R124" s="1">
        <f t="shared" si="28"/>
        <v>1149951.5999999999</v>
      </c>
      <c r="S124" s="1">
        <f t="shared" si="21"/>
        <v>328557.60000000003</v>
      </c>
      <c r="T124" s="1">
        <f t="shared" si="20"/>
        <v>164278.80000000005</v>
      </c>
      <c r="U124" s="1">
        <v>1642788</v>
      </c>
      <c r="V124" s="1">
        <f t="shared" si="16"/>
        <v>1026174.3199999998</v>
      </c>
      <c r="W124" s="1">
        <v>4.4000000000000004</v>
      </c>
    </row>
    <row r="125" spans="1:23" x14ac:dyDescent="0.25">
      <c r="A125" s="1" t="s">
        <v>151</v>
      </c>
      <c r="B125" s="1" t="s">
        <v>34</v>
      </c>
      <c r="C125" s="1" t="s">
        <v>408</v>
      </c>
      <c r="D125" s="1" t="s">
        <v>62</v>
      </c>
      <c r="E125" s="1" t="s">
        <v>43</v>
      </c>
      <c r="F125" s="1" t="s">
        <v>59</v>
      </c>
      <c r="G125" s="1" t="s">
        <v>60</v>
      </c>
      <c r="H125" s="1" t="s">
        <v>399</v>
      </c>
      <c r="I125" s="1" t="s">
        <v>397</v>
      </c>
      <c r="J125" s="1" t="s">
        <v>26</v>
      </c>
      <c r="K125" s="1">
        <v>20</v>
      </c>
      <c r="L125" s="1">
        <v>28631</v>
      </c>
      <c r="M125" s="2">
        <f t="shared" si="17"/>
        <v>572620</v>
      </c>
      <c r="N125" s="1">
        <v>94825.87</v>
      </c>
      <c r="O125" s="1">
        <f t="shared" si="18"/>
        <v>667445.87</v>
      </c>
      <c r="P125" s="1">
        <v>6873</v>
      </c>
      <c r="Q125" s="1">
        <f t="shared" si="19"/>
        <v>660572.87</v>
      </c>
      <c r="R125" s="1">
        <f t="shared" si="28"/>
        <v>277970</v>
      </c>
      <c r="S125" s="1">
        <f t="shared" si="21"/>
        <v>79420</v>
      </c>
      <c r="T125" s="1">
        <f t="shared" si="20"/>
        <v>39710</v>
      </c>
      <c r="U125" s="1">
        <v>397100</v>
      </c>
      <c r="V125" s="1">
        <f t="shared" si="16"/>
        <v>263472.87</v>
      </c>
      <c r="W125" s="1">
        <v>4</v>
      </c>
    </row>
    <row r="126" spans="1:23" x14ac:dyDescent="0.25">
      <c r="A126" s="1" t="s">
        <v>170</v>
      </c>
      <c r="B126" s="1" t="s">
        <v>28</v>
      </c>
      <c r="C126" s="1" t="s">
        <v>408</v>
      </c>
      <c r="D126" s="1" t="s">
        <v>22</v>
      </c>
      <c r="E126" s="1" t="s">
        <v>23</v>
      </c>
      <c r="F126" s="1" t="s">
        <v>17</v>
      </c>
      <c r="G126" s="1" t="s">
        <v>38</v>
      </c>
      <c r="H126" s="1" t="s">
        <v>399</v>
      </c>
      <c r="I126" s="1" t="s">
        <v>39</v>
      </c>
      <c r="J126" s="1" t="s">
        <v>26</v>
      </c>
      <c r="K126" s="1">
        <v>191</v>
      </c>
      <c r="L126" s="1">
        <v>18901</v>
      </c>
      <c r="M126" s="2">
        <f t="shared" si="17"/>
        <v>3610091</v>
      </c>
      <c r="N126" s="1">
        <v>552343.92000000004</v>
      </c>
      <c r="O126" s="1">
        <f t="shared" si="18"/>
        <v>4162434.92</v>
      </c>
      <c r="P126" s="1">
        <v>8178</v>
      </c>
      <c r="Q126" s="1">
        <f t="shared" si="19"/>
        <v>4154256.92</v>
      </c>
      <c r="R126" s="1">
        <f>0.62*U126</f>
        <v>1487947.3</v>
      </c>
      <c r="S126" s="1">
        <f>U126*0.2</f>
        <v>479983</v>
      </c>
      <c r="T126" s="1">
        <f t="shared" si="20"/>
        <v>431984.69999999995</v>
      </c>
      <c r="U126" s="1">
        <v>2399915</v>
      </c>
      <c r="V126" s="1">
        <f t="shared" si="16"/>
        <v>1754341.92</v>
      </c>
      <c r="W126" s="1">
        <v>3.8</v>
      </c>
    </row>
    <row r="127" spans="1:23" x14ac:dyDescent="0.25">
      <c r="A127" s="1" t="s">
        <v>118</v>
      </c>
      <c r="B127" s="1" t="s">
        <v>51</v>
      </c>
      <c r="C127" s="1" t="s">
        <v>408</v>
      </c>
      <c r="D127" s="1" t="s">
        <v>78</v>
      </c>
      <c r="E127" s="1" t="s">
        <v>49</v>
      </c>
      <c r="F127" s="1" t="s">
        <v>59</v>
      </c>
      <c r="G127" s="1" t="s">
        <v>85</v>
      </c>
      <c r="H127" s="1" t="s">
        <v>398</v>
      </c>
      <c r="I127" s="1" t="s">
        <v>395</v>
      </c>
      <c r="J127" s="1" t="s">
        <v>46</v>
      </c>
      <c r="K127" s="1">
        <v>67</v>
      </c>
      <c r="L127" s="1">
        <v>32806</v>
      </c>
      <c r="M127" s="2">
        <f t="shared" si="17"/>
        <v>2198002</v>
      </c>
      <c r="N127" s="1">
        <v>395640.36</v>
      </c>
      <c r="O127" s="1">
        <f t="shared" si="18"/>
        <v>2593642.36</v>
      </c>
      <c r="P127" s="1">
        <v>7879</v>
      </c>
      <c r="Q127" s="1">
        <f t="shared" si="19"/>
        <v>2585763.36</v>
      </c>
      <c r="R127" s="1">
        <f>0.7*U127</f>
        <v>1057688.8</v>
      </c>
      <c r="S127" s="1">
        <f t="shared" si="21"/>
        <v>302196.8</v>
      </c>
      <c r="T127" s="1">
        <f t="shared" si="20"/>
        <v>151098.39999999991</v>
      </c>
      <c r="U127" s="1">
        <v>1510984</v>
      </c>
      <c r="V127" s="1">
        <f t="shared" si="16"/>
        <v>1074779.3599999999</v>
      </c>
      <c r="W127" s="1">
        <v>4.0999999999999996</v>
      </c>
    </row>
    <row r="128" spans="1:23" x14ac:dyDescent="0.25">
      <c r="A128" s="1" t="s">
        <v>171</v>
      </c>
      <c r="B128" s="1" t="s">
        <v>37</v>
      </c>
      <c r="C128" s="1" t="s">
        <v>408</v>
      </c>
      <c r="D128" s="1" t="s">
        <v>42</v>
      </c>
      <c r="E128" s="1" t="s">
        <v>43</v>
      </c>
      <c r="F128" s="1" t="s">
        <v>29</v>
      </c>
      <c r="G128" s="1" t="s">
        <v>53</v>
      </c>
      <c r="H128" s="1" t="s">
        <v>398</v>
      </c>
      <c r="I128" s="1" t="s">
        <v>19</v>
      </c>
      <c r="J128" s="1" t="s">
        <v>26</v>
      </c>
      <c r="K128" s="1">
        <v>198</v>
      </c>
      <c r="L128" s="1">
        <v>1040</v>
      </c>
      <c r="M128" s="2">
        <f t="shared" si="17"/>
        <v>205920</v>
      </c>
      <c r="N128" s="1">
        <v>34100.35</v>
      </c>
      <c r="O128" s="1">
        <f t="shared" si="18"/>
        <v>240020.35</v>
      </c>
      <c r="P128" s="1">
        <v>6404</v>
      </c>
      <c r="Q128" s="1">
        <f t="shared" si="19"/>
        <v>233616.35</v>
      </c>
      <c r="R128" s="1">
        <v>65340</v>
      </c>
      <c r="S128" s="1">
        <f>U128*0.1</f>
        <v>13068</v>
      </c>
      <c r="T128" s="1">
        <f t="shared" si="20"/>
        <v>52272</v>
      </c>
      <c r="U128" s="1">
        <v>130680</v>
      </c>
      <c r="V128" s="1">
        <f t="shared" si="16"/>
        <v>102936.35</v>
      </c>
      <c r="W128" s="1">
        <v>4</v>
      </c>
    </row>
    <row r="129" spans="1:23" x14ac:dyDescent="0.25">
      <c r="A129" s="1" t="s">
        <v>172</v>
      </c>
      <c r="B129" s="1" t="s">
        <v>51</v>
      </c>
      <c r="C129" s="1" t="s">
        <v>408</v>
      </c>
      <c r="D129" s="1" t="s">
        <v>15</v>
      </c>
      <c r="E129" s="1" t="s">
        <v>16</v>
      </c>
      <c r="F129" s="1" t="s">
        <v>24</v>
      </c>
      <c r="G129" s="1" t="s">
        <v>63</v>
      </c>
      <c r="H129" s="1" t="s">
        <v>398</v>
      </c>
      <c r="I129" s="1" t="s">
        <v>39</v>
      </c>
      <c r="J129" s="1" t="s">
        <v>26</v>
      </c>
      <c r="K129" s="1">
        <v>101</v>
      </c>
      <c r="L129" s="1">
        <v>13404</v>
      </c>
      <c r="M129" s="2">
        <f t="shared" si="17"/>
        <v>1353804</v>
      </c>
      <c r="N129" s="1">
        <v>207132.01</v>
      </c>
      <c r="O129" s="1">
        <f t="shared" si="18"/>
        <v>1560936.01</v>
      </c>
      <c r="P129" s="1">
        <v>7892</v>
      </c>
      <c r="Q129" s="1">
        <f t="shared" si="19"/>
        <v>1553044.01</v>
      </c>
      <c r="R129" s="1">
        <v>281436.5</v>
      </c>
      <c r="S129" s="1">
        <f t="shared" si="21"/>
        <v>225149.2</v>
      </c>
      <c r="T129" s="1">
        <f t="shared" si="20"/>
        <v>619160.30000000005</v>
      </c>
      <c r="U129" s="1">
        <v>1125746</v>
      </c>
      <c r="V129" s="1">
        <f t="shared" si="16"/>
        <v>427298.01</v>
      </c>
      <c r="W129" s="1">
        <v>4.4000000000000004</v>
      </c>
    </row>
    <row r="130" spans="1:23" x14ac:dyDescent="0.25">
      <c r="A130" s="1" t="s">
        <v>166</v>
      </c>
      <c r="B130" s="1" t="s">
        <v>69</v>
      </c>
      <c r="C130" s="1" t="s">
        <v>408</v>
      </c>
      <c r="D130" s="1" t="s">
        <v>74</v>
      </c>
      <c r="E130" s="1" t="s">
        <v>56</v>
      </c>
      <c r="F130" s="1" t="s">
        <v>24</v>
      </c>
      <c r="G130" s="1" t="s">
        <v>119</v>
      </c>
      <c r="H130" s="1" t="s">
        <v>399</v>
      </c>
      <c r="I130" s="1" t="s">
        <v>395</v>
      </c>
      <c r="J130" s="1" t="s">
        <v>26</v>
      </c>
      <c r="K130" s="1">
        <v>194</v>
      </c>
      <c r="L130" s="1">
        <v>2408</v>
      </c>
      <c r="M130" s="2">
        <f t="shared" si="17"/>
        <v>467152</v>
      </c>
      <c r="N130" s="1">
        <v>77360.37</v>
      </c>
      <c r="O130" s="1">
        <f t="shared" si="18"/>
        <v>544512.37</v>
      </c>
      <c r="P130" s="1">
        <v>5258</v>
      </c>
      <c r="Q130" s="1">
        <f t="shared" si="19"/>
        <v>539254.37</v>
      </c>
      <c r="R130" s="1">
        <v>241821</v>
      </c>
      <c r="S130" s="1">
        <f t="shared" si="21"/>
        <v>64485.600000000006</v>
      </c>
      <c r="T130" s="1">
        <f t="shared" si="20"/>
        <v>16121.399999999994</v>
      </c>
      <c r="U130" s="1">
        <v>322428</v>
      </c>
      <c r="V130" s="1">
        <f t="shared" si="16"/>
        <v>216826.37</v>
      </c>
      <c r="W130" s="1">
        <v>4</v>
      </c>
    </row>
    <row r="131" spans="1:23" x14ac:dyDescent="0.25">
      <c r="A131" s="1" t="s">
        <v>173</v>
      </c>
      <c r="B131" s="1" t="s">
        <v>69</v>
      </c>
      <c r="C131" s="1" t="s">
        <v>408</v>
      </c>
      <c r="D131" s="1" t="s">
        <v>22</v>
      </c>
      <c r="E131" s="1" t="s">
        <v>23</v>
      </c>
      <c r="F131" s="1" t="s">
        <v>24</v>
      </c>
      <c r="G131" s="1" t="s">
        <v>143</v>
      </c>
      <c r="H131" s="1" t="s">
        <v>398</v>
      </c>
      <c r="I131" s="1" t="s">
        <v>19</v>
      </c>
      <c r="J131" s="1" t="s">
        <v>46</v>
      </c>
      <c r="K131" s="1">
        <v>84</v>
      </c>
      <c r="L131" s="1">
        <v>18432</v>
      </c>
      <c r="M131" s="2">
        <f t="shared" si="17"/>
        <v>1548288</v>
      </c>
      <c r="N131" s="1">
        <v>245248.82</v>
      </c>
      <c r="O131" s="1">
        <f t="shared" si="18"/>
        <v>1793536.82</v>
      </c>
      <c r="P131" s="1">
        <v>6284</v>
      </c>
      <c r="Q131" s="1">
        <f t="shared" si="19"/>
        <v>1787252.82</v>
      </c>
      <c r="R131" s="1">
        <v>278985</v>
      </c>
      <c r="S131" s="1">
        <f t="shared" si="21"/>
        <v>223188</v>
      </c>
      <c r="T131" s="1">
        <f t="shared" si="20"/>
        <v>613767</v>
      </c>
      <c r="U131" s="1">
        <v>1115940</v>
      </c>
      <c r="V131" s="1">
        <f t="shared" si="16"/>
        <v>671312.82000000007</v>
      </c>
      <c r="W131" s="1">
        <v>3.7</v>
      </c>
    </row>
    <row r="132" spans="1:23" x14ac:dyDescent="0.25">
      <c r="A132" s="1" t="s">
        <v>174</v>
      </c>
      <c r="B132" s="1" t="s">
        <v>41</v>
      </c>
      <c r="C132" s="1" t="s">
        <v>408</v>
      </c>
      <c r="D132" s="1" t="s">
        <v>62</v>
      </c>
      <c r="E132" s="1" t="s">
        <v>43</v>
      </c>
      <c r="F132" s="1" t="s">
        <v>59</v>
      </c>
      <c r="G132" s="1" t="s">
        <v>67</v>
      </c>
      <c r="H132" s="1" t="s">
        <v>399</v>
      </c>
      <c r="I132" s="1" t="s">
        <v>395</v>
      </c>
      <c r="J132" s="1" t="s">
        <v>46</v>
      </c>
      <c r="K132" s="1">
        <v>25</v>
      </c>
      <c r="L132" s="1">
        <v>14326</v>
      </c>
      <c r="M132" s="2">
        <f t="shared" si="17"/>
        <v>358150</v>
      </c>
      <c r="N132" s="1">
        <v>61243.65</v>
      </c>
      <c r="O132" s="1">
        <f t="shared" si="18"/>
        <v>419393.65</v>
      </c>
      <c r="P132" s="1">
        <v>7940</v>
      </c>
      <c r="Q132" s="1">
        <f t="shared" si="19"/>
        <v>411453.65</v>
      </c>
      <c r="R132" s="1">
        <f>0.7*U132</f>
        <v>197295</v>
      </c>
      <c r="S132" s="1">
        <f t="shared" si="21"/>
        <v>56370</v>
      </c>
      <c r="T132" s="1">
        <f t="shared" si="20"/>
        <v>28185</v>
      </c>
      <c r="U132" s="1">
        <v>281850</v>
      </c>
      <c r="V132" s="1">
        <f t="shared" ref="V132:V195" si="29">Q132-U132</f>
        <v>129603.65000000002</v>
      </c>
      <c r="W132" s="1">
        <v>4.3</v>
      </c>
    </row>
    <row r="133" spans="1:23" x14ac:dyDescent="0.25">
      <c r="A133" s="1" t="s">
        <v>80</v>
      </c>
      <c r="B133" s="1" t="s">
        <v>109</v>
      </c>
      <c r="C133" s="1" t="s">
        <v>408</v>
      </c>
      <c r="D133" s="1" t="s">
        <v>55</v>
      </c>
      <c r="E133" s="1" t="s">
        <v>56</v>
      </c>
      <c r="F133" s="1" t="s">
        <v>29</v>
      </c>
      <c r="G133" s="1" t="s">
        <v>87</v>
      </c>
      <c r="H133" s="1" t="s">
        <v>398</v>
      </c>
      <c r="I133" s="1" t="s">
        <v>397</v>
      </c>
      <c r="J133" s="1" t="s">
        <v>26</v>
      </c>
      <c r="K133" s="1">
        <v>49</v>
      </c>
      <c r="L133" s="1">
        <v>21120</v>
      </c>
      <c r="M133" s="2">
        <f t="shared" ref="M133:M196" si="30">K133*L133</f>
        <v>1034880</v>
      </c>
      <c r="N133" s="1">
        <v>186278.39999999999</v>
      </c>
      <c r="O133" s="1">
        <f t="shared" ref="O133:O196" si="31">M133+N133</f>
        <v>1221158.3999999999</v>
      </c>
      <c r="P133" s="1">
        <v>6804</v>
      </c>
      <c r="Q133" s="1">
        <f t="shared" ref="Q133:Q196" si="32">O133-P133</f>
        <v>1214354.3999999999</v>
      </c>
      <c r="R133" s="1">
        <v>520380</v>
      </c>
      <c r="S133" s="1">
        <f>U133*0.1</f>
        <v>69384</v>
      </c>
      <c r="T133" s="1">
        <f t="shared" ref="T133:T196" si="33">U133-S133-R133</f>
        <v>104076</v>
      </c>
      <c r="U133" s="1">
        <v>693840</v>
      </c>
      <c r="V133" s="1">
        <f t="shared" si="29"/>
        <v>520514.39999999991</v>
      </c>
      <c r="W133" s="1">
        <v>3.9</v>
      </c>
    </row>
    <row r="134" spans="1:23" x14ac:dyDescent="0.25">
      <c r="A134" s="1" t="s">
        <v>175</v>
      </c>
      <c r="B134" s="1" t="s">
        <v>51</v>
      </c>
      <c r="C134" s="1" t="s">
        <v>408</v>
      </c>
      <c r="D134" s="1" t="s">
        <v>62</v>
      </c>
      <c r="E134" s="1" t="s">
        <v>43</v>
      </c>
      <c r="F134" s="1" t="s">
        <v>24</v>
      </c>
      <c r="G134" s="1" t="s">
        <v>25</v>
      </c>
      <c r="H134" s="1" t="s">
        <v>398</v>
      </c>
      <c r="I134" s="1" t="s">
        <v>39</v>
      </c>
      <c r="J134" s="1" t="s">
        <v>26</v>
      </c>
      <c r="K134" s="1">
        <v>16</v>
      </c>
      <c r="L134" s="1">
        <v>3775</v>
      </c>
      <c r="M134" s="2">
        <f t="shared" si="30"/>
        <v>60400</v>
      </c>
      <c r="N134" s="1">
        <v>9567.36</v>
      </c>
      <c r="O134" s="1">
        <f t="shared" si="31"/>
        <v>69967.360000000001</v>
      </c>
      <c r="P134" s="1">
        <v>5185</v>
      </c>
      <c r="Q134" s="1">
        <f t="shared" si="32"/>
        <v>64782.36</v>
      </c>
      <c r="R134" s="1">
        <v>21568</v>
      </c>
      <c r="S134" s="1">
        <f t="shared" ref="S134:S196" si="34">U134*0.2</f>
        <v>8627.2000000000007</v>
      </c>
      <c r="T134" s="1">
        <f t="shared" si="33"/>
        <v>12940.800000000003</v>
      </c>
      <c r="U134" s="1">
        <v>43136</v>
      </c>
      <c r="V134" s="1">
        <f t="shared" si="29"/>
        <v>21646.36</v>
      </c>
      <c r="W134" s="1">
        <v>4.8</v>
      </c>
    </row>
    <row r="135" spans="1:23" x14ac:dyDescent="0.25">
      <c r="A135" s="1" t="s">
        <v>162</v>
      </c>
      <c r="B135" s="1" t="s">
        <v>58</v>
      </c>
      <c r="C135" s="1" t="s">
        <v>408</v>
      </c>
      <c r="D135" s="1" t="s">
        <v>78</v>
      </c>
      <c r="E135" s="1" t="s">
        <v>49</v>
      </c>
      <c r="F135" s="1" t="s">
        <v>24</v>
      </c>
      <c r="G135" s="1" t="s">
        <v>143</v>
      </c>
      <c r="H135" s="1" t="s">
        <v>398</v>
      </c>
      <c r="I135" s="1" t="s">
        <v>396</v>
      </c>
      <c r="J135" s="1" t="s">
        <v>46</v>
      </c>
      <c r="K135" s="1">
        <v>37</v>
      </c>
      <c r="L135" s="1">
        <v>34483</v>
      </c>
      <c r="M135" s="2">
        <f t="shared" si="30"/>
        <v>1275871</v>
      </c>
      <c r="N135" s="1">
        <v>202097.97</v>
      </c>
      <c r="O135" s="1">
        <f t="shared" si="31"/>
        <v>1477968.97</v>
      </c>
      <c r="P135" s="1">
        <v>6894</v>
      </c>
      <c r="Q135" s="1">
        <f t="shared" si="32"/>
        <v>1471074.97</v>
      </c>
      <c r="R135" s="1">
        <v>449513</v>
      </c>
      <c r="S135" s="1">
        <f t="shared" si="34"/>
        <v>179805.2</v>
      </c>
      <c r="T135" s="1">
        <f t="shared" si="33"/>
        <v>269707.80000000005</v>
      </c>
      <c r="U135" s="1">
        <v>899026</v>
      </c>
      <c r="V135" s="1">
        <f t="shared" si="29"/>
        <v>572048.97</v>
      </c>
      <c r="W135" s="1">
        <v>4.2</v>
      </c>
    </row>
    <row r="136" spans="1:23" x14ac:dyDescent="0.25">
      <c r="A136" s="1" t="s">
        <v>176</v>
      </c>
      <c r="B136" s="1" t="s">
        <v>51</v>
      </c>
      <c r="C136" s="1" t="s">
        <v>408</v>
      </c>
      <c r="D136" s="1" t="s">
        <v>15</v>
      </c>
      <c r="E136" s="1" t="s">
        <v>16</v>
      </c>
      <c r="F136" s="1" t="s">
        <v>24</v>
      </c>
      <c r="G136" s="1" t="s">
        <v>63</v>
      </c>
      <c r="H136" s="1" t="s">
        <v>399</v>
      </c>
      <c r="I136" s="1" t="s">
        <v>395</v>
      </c>
      <c r="J136" s="1" t="s">
        <v>46</v>
      </c>
      <c r="K136" s="1">
        <v>53</v>
      </c>
      <c r="L136" s="1">
        <v>2709</v>
      </c>
      <c r="M136" s="2">
        <f t="shared" si="30"/>
        <v>143577</v>
      </c>
      <c r="N136" s="1">
        <v>23776.35</v>
      </c>
      <c r="O136" s="1">
        <f t="shared" si="31"/>
        <v>167353.35</v>
      </c>
      <c r="P136" s="1">
        <v>9161</v>
      </c>
      <c r="Q136" s="1">
        <f t="shared" si="32"/>
        <v>158192.35</v>
      </c>
      <c r="R136" s="1">
        <v>23638</v>
      </c>
      <c r="S136" s="1">
        <f t="shared" si="34"/>
        <v>18910.400000000001</v>
      </c>
      <c r="T136" s="1">
        <f t="shared" si="33"/>
        <v>52003.600000000006</v>
      </c>
      <c r="U136" s="1">
        <v>94552</v>
      </c>
      <c r="V136" s="1">
        <f t="shared" si="29"/>
        <v>63640.350000000006</v>
      </c>
      <c r="W136" s="1">
        <v>3.7</v>
      </c>
    </row>
    <row r="137" spans="1:23" x14ac:dyDescent="0.25">
      <c r="A137" s="1" t="s">
        <v>177</v>
      </c>
      <c r="B137" s="1" t="s">
        <v>37</v>
      </c>
      <c r="C137" s="1" t="s">
        <v>408</v>
      </c>
      <c r="D137" s="1" t="s">
        <v>48</v>
      </c>
      <c r="E137" s="1" t="s">
        <v>49</v>
      </c>
      <c r="F137" s="1" t="s">
        <v>29</v>
      </c>
      <c r="G137" s="1" t="s">
        <v>91</v>
      </c>
      <c r="H137" s="1" t="s">
        <v>398</v>
      </c>
      <c r="I137" s="1" t="s">
        <v>397</v>
      </c>
      <c r="J137" s="1" t="s">
        <v>26</v>
      </c>
      <c r="K137" s="1">
        <v>106</v>
      </c>
      <c r="L137" s="1">
        <v>9719</v>
      </c>
      <c r="M137" s="2">
        <f t="shared" si="30"/>
        <v>1030214</v>
      </c>
      <c r="N137" s="1">
        <v>185438.52</v>
      </c>
      <c r="O137" s="1">
        <f t="shared" si="31"/>
        <v>1215652.52</v>
      </c>
      <c r="P137" s="1">
        <v>9971</v>
      </c>
      <c r="Q137" s="1">
        <f t="shared" si="32"/>
        <v>1205681.52</v>
      </c>
      <c r="R137" s="1">
        <v>169149.5</v>
      </c>
      <c r="S137" s="1">
        <f t="shared" ref="S137:S138" si="35">U137*0.1</f>
        <v>67659.8</v>
      </c>
      <c r="T137" s="1">
        <f t="shared" si="33"/>
        <v>439788.69999999995</v>
      </c>
      <c r="U137" s="1">
        <v>676598</v>
      </c>
      <c r="V137" s="1">
        <f t="shared" si="29"/>
        <v>529083.52</v>
      </c>
      <c r="W137" s="1">
        <v>4.5</v>
      </c>
    </row>
    <row r="138" spans="1:23" x14ac:dyDescent="0.25">
      <c r="A138" s="1" t="s">
        <v>178</v>
      </c>
      <c r="B138" s="1" t="s">
        <v>109</v>
      </c>
      <c r="C138" s="1" t="s">
        <v>408</v>
      </c>
      <c r="D138" s="1" t="s">
        <v>52</v>
      </c>
      <c r="E138" s="1" t="s">
        <v>23</v>
      </c>
      <c r="F138" s="1" t="s">
        <v>29</v>
      </c>
      <c r="G138" s="1" t="s">
        <v>91</v>
      </c>
      <c r="H138" s="1" t="s">
        <v>399</v>
      </c>
      <c r="I138" s="1" t="s">
        <v>395</v>
      </c>
      <c r="J138" s="1" t="s">
        <v>26</v>
      </c>
      <c r="K138" s="1">
        <v>180</v>
      </c>
      <c r="L138" s="1">
        <v>3492</v>
      </c>
      <c r="M138" s="2">
        <f t="shared" si="30"/>
        <v>628560</v>
      </c>
      <c r="N138" s="1">
        <v>96169.68</v>
      </c>
      <c r="O138" s="1">
        <f t="shared" si="31"/>
        <v>724729.67999999993</v>
      </c>
      <c r="P138" s="1">
        <v>9029</v>
      </c>
      <c r="Q138" s="1">
        <f t="shared" si="32"/>
        <v>715700.67999999993</v>
      </c>
      <c r="R138" s="1">
        <v>100485</v>
      </c>
      <c r="S138" s="1">
        <f t="shared" si="35"/>
        <v>40194</v>
      </c>
      <c r="T138" s="1">
        <f t="shared" si="33"/>
        <v>261261</v>
      </c>
      <c r="U138" s="1">
        <v>401940</v>
      </c>
      <c r="V138" s="1">
        <f t="shared" si="29"/>
        <v>313760.67999999993</v>
      </c>
      <c r="W138" s="1">
        <v>3.5</v>
      </c>
    </row>
    <row r="139" spans="1:23" x14ac:dyDescent="0.25">
      <c r="A139" s="1" t="s">
        <v>179</v>
      </c>
      <c r="B139" s="1" t="s">
        <v>28</v>
      </c>
      <c r="C139" s="1" t="s">
        <v>408</v>
      </c>
      <c r="D139" s="1" t="s">
        <v>48</v>
      </c>
      <c r="E139" s="1" t="s">
        <v>49</v>
      </c>
      <c r="F139" s="1" t="s">
        <v>24</v>
      </c>
      <c r="G139" s="1" t="s">
        <v>63</v>
      </c>
      <c r="H139" s="1" t="s">
        <v>399</v>
      </c>
      <c r="I139" s="1" t="s">
        <v>396</v>
      </c>
      <c r="J139" s="1" t="s">
        <v>46</v>
      </c>
      <c r="K139" s="1">
        <v>136</v>
      </c>
      <c r="L139" s="1">
        <v>16587</v>
      </c>
      <c r="M139" s="2">
        <f t="shared" si="30"/>
        <v>2255832</v>
      </c>
      <c r="N139" s="1">
        <v>406049.76</v>
      </c>
      <c r="O139" s="1">
        <f t="shared" si="31"/>
        <v>2661881.7599999998</v>
      </c>
      <c r="P139" s="1">
        <v>8049</v>
      </c>
      <c r="Q139" s="1">
        <f t="shared" si="32"/>
        <v>2653832.7599999998</v>
      </c>
      <c r="R139" s="1">
        <v>365908</v>
      </c>
      <c r="S139" s="1">
        <f t="shared" si="34"/>
        <v>292726.40000000002</v>
      </c>
      <c r="T139" s="1">
        <f t="shared" si="33"/>
        <v>804997.60000000009</v>
      </c>
      <c r="U139" s="1">
        <v>1463632</v>
      </c>
      <c r="V139" s="1">
        <f t="shared" si="29"/>
        <v>1190200.7599999998</v>
      </c>
      <c r="W139" s="1">
        <v>3.8</v>
      </c>
    </row>
    <row r="140" spans="1:23" x14ac:dyDescent="0.25">
      <c r="A140" s="1" t="s">
        <v>180</v>
      </c>
      <c r="B140" s="1" t="s">
        <v>41</v>
      </c>
      <c r="C140" s="1" t="s">
        <v>408</v>
      </c>
      <c r="D140" s="1" t="s">
        <v>62</v>
      </c>
      <c r="E140" s="1" t="s">
        <v>43</v>
      </c>
      <c r="F140" s="1" t="s">
        <v>59</v>
      </c>
      <c r="G140" s="1" t="s">
        <v>67</v>
      </c>
      <c r="H140" s="1" t="s">
        <v>398</v>
      </c>
      <c r="I140" s="1" t="s">
        <v>395</v>
      </c>
      <c r="J140" s="1" t="s">
        <v>26</v>
      </c>
      <c r="K140" s="1">
        <v>88</v>
      </c>
      <c r="L140" s="1">
        <v>4495</v>
      </c>
      <c r="M140" s="2">
        <f t="shared" si="30"/>
        <v>395560</v>
      </c>
      <c r="N140" s="1">
        <v>71200.800000000003</v>
      </c>
      <c r="O140" s="1">
        <f t="shared" si="31"/>
        <v>466760.8</v>
      </c>
      <c r="P140" s="1">
        <v>8284</v>
      </c>
      <c r="Q140" s="1">
        <f t="shared" si="32"/>
        <v>458476.79999999999</v>
      </c>
      <c r="R140" s="1">
        <f>0.7*U140</f>
        <v>210240.8</v>
      </c>
      <c r="S140" s="1">
        <f t="shared" si="34"/>
        <v>60068.800000000003</v>
      </c>
      <c r="T140" s="1">
        <f t="shared" si="33"/>
        <v>30034.400000000023</v>
      </c>
      <c r="U140" s="1">
        <v>300344</v>
      </c>
      <c r="V140" s="1">
        <f t="shared" si="29"/>
        <v>158132.79999999999</v>
      </c>
      <c r="W140" s="1">
        <v>3.6</v>
      </c>
    </row>
    <row r="141" spans="1:23" x14ac:dyDescent="0.25">
      <c r="A141" s="1" t="s">
        <v>181</v>
      </c>
      <c r="B141" s="1" t="s">
        <v>69</v>
      </c>
      <c r="C141" s="1" t="s">
        <v>408</v>
      </c>
      <c r="D141" s="1" t="s">
        <v>42</v>
      </c>
      <c r="E141" s="1" t="s">
        <v>43</v>
      </c>
      <c r="F141" s="1" t="s">
        <v>17</v>
      </c>
      <c r="G141" s="1" t="s">
        <v>18</v>
      </c>
      <c r="H141" s="1" t="s">
        <v>399</v>
      </c>
      <c r="I141" s="1" t="s">
        <v>39</v>
      </c>
      <c r="J141" s="1" t="s">
        <v>46</v>
      </c>
      <c r="K141" s="1">
        <v>120</v>
      </c>
      <c r="L141" s="1">
        <v>33771</v>
      </c>
      <c r="M141" s="2">
        <f t="shared" si="30"/>
        <v>4052520</v>
      </c>
      <c r="N141" s="1">
        <v>729453.6</v>
      </c>
      <c r="O141" s="1">
        <f t="shared" si="31"/>
        <v>4781973.5999999996</v>
      </c>
      <c r="P141" s="1">
        <v>9222</v>
      </c>
      <c r="Q141" s="1">
        <f t="shared" si="32"/>
        <v>4772751.5999999996</v>
      </c>
      <c r="R141" s="1">
        <f>0.62*U141</f>
        <v>1666188</v>
      </c>
      <c r="S141" s="1">
        <f>U141*0.2</f>
        <v>537480</v>
      </c>
      <c r="T141" s="1">
        <f t="shared" si="33"/>
        <v>483732</v>
      </c>
      <c r="U141" s="1">
        <v>2687400</v>
      </c>
      <c r="V141" s="1">
        <f t="shared" si="29"/>
        <v>2085351.5999999996</v>
      </c>
      <c r="W141" s="1">
        <v>4.9000000000000004</v>
      </c>
    </row>
    <row r="142" spans="1:23" x14ac:dyDescent="0.25">
      <c r="A142" s="1" t="s">
        <v>83</v>
      </c>
      <c r="B142" s="1" t="s">
        <v>21</v>
      </c>
      <c r="C142" s="1" t="s">
        <v>408</v>
      </c>
      <c r="D142" s="1" t="s">
        <v>74</v>
      </c>
      <c r="E142" s="1" t="s">
        <v>56</v>
      </c>
      <c r="F142" s="1" t="s">
        <v>59</v>
      </c>
      <c r="G142" s="1" t="s">
        <v>60</v>
      </c>
      <c r="H142" s="1" t="s">
        <v>399</v>
      </c>
      <c r="I142" s="1" t="s">
        <v>19</v>
      </c>
      <c r="J142" s="1" t="s">
        <v>46</v>
      </c>
      <c r="K142" s="1">
        <v>159</v>
      </c>
      <c r="L142" s="1">
        <v>29777</v>
      </c>
      <c r="M142" s="2">
        <f t="shared" si="30"/>
        <v>4734543</v>
      </c>
      <c r="N142" s="1">
        <v>724385.08</v>
      </c>
      <c r="O142" s="1">
        <f t="shared" si="31"/>
        <v>5458928.0800000001</v>
      </c>
      <c r="P142" s="1">
        <v>6230</v>
      </c>
      <c r="Q142" s="1">
        <f t="shared" si="32"/>
        <v>5452698.0800000001</v>
      </c>
      <c r="R142" s="1">
        <f>0.7*U142</f>
        <v>2544095.4</v>
      </c>
      <c r="S142" s="1">
        <f t="shared" si="34"/>
        <v>726884.4</v>
      </c>
      <c r="T142" s="1">
        <f t="shared" si="33"/>
        <v>363442.20000000019</v>
      </c>
      <c r="U142" s="1">
        <v>3634422</v>
      </c>
      <c r="V142" s="1">
        <f t="shared" si="29"/>
        <v>1818276.08</v>
      </c>
      <c r="W142" s="1">
        <v>4.3</v>
      </c>
    </row>
    <row r="143" spans="1:23" x14ac:dyDescent="0.25">
      <c r="A143" s="1" t="s">
        <v>157</v>
      </c>
      <c r="B143" s="1" t="s">
        <v>32</v>
      </c>
      <c r="C143" s="1" t="s">
        <v>408</v>
      </c>
      <c r="D143" s="1" t="s">
        <v>22</v>
      </c>
      <c r="E143" s="1" t="s">
        <v>23</v>
      </c>
      <c r="F143" s="1" t="s">
        <v>29</v>
      </c>
      <c r="G143" s="1" t="s">
        <v>91</v>
      </c>
      <c r="H143" s="1" t="s">
        <v>398</v>
      </c>
      <c r="I143" s="1" t="s">
        <v>19</v>
      </c>
      <c r="J143" s="1" t="s">
        <v>46</v>
      </c>
      <c r="K143" s="1">
        <v>99</v>
      </c>
      <c r="L143" s="1">
        <v>24881</v>
      </c>
      <c r="M143" s="2">
        <f t="shared" si="30"/>
        <v>2463219</v>
      </c>
      <c r="N143" s="1">
        <v>376872.51</v>
      </c>
      <c r="O143" s="1">
        <f t="shared" si="31"/>
        <v>2840091.51</v>
      </c>
      <c r="P143" s="1">
        <v>6701</v>
      </c>
      <c r="Q143" s="1">
        <f t="shared" si="32"/>
        <v>2833390.51</v>
      </c>
      <c r="R143" s="1">
        <v>1493538.75</v>
      </c>
      <c r="S143" s="1">
        <f t="shared" ref="S143:S144" si="36">U143*0.1</f>
        <v>199138.5</v>
      </c>
      <c r="T143" s="1">
        <f t="shared" si="33"/>
        <v>298707.75</v>
      </c>
      <c r="U143" s="1">
        <v>1991385</v>
      </c>
      <c r="V143" s="1">
        <f t="shared" si="29"/>
        <v>842005.50999999978</v>
      </c>
      <c r="W143" s="1">
        <v>3.6</v>
      </c>
    </row>
    <row r="144" spans="1:23" x14ac:dyDescent="0.25">
      <c r="A144" s="1" t="s">
        <v>182</v>
      </c>
      <c r="B144" s="1" t="s">
        <v>51</v>
      </c>
      <c r="C144" s="1" t="s">
        <v>408</v>
      </c>
      <c r="D144" s="1" t="s">
        <v>55</v>
      </c>
      <c r="E144" s="1" t="s">
        <v>56</v>
      </c>
      <c r="F144" s="1" t="s">
        <v>29</v>
      </c>
      <c r="G144" s="1" t="s">
        <v>97</v>
      </c>
      <c r="H144" s="1" t="s">
        <v>399</v>
      </c>
      <c r="I144" s="1" t="s">
        <v>395</v>
      </c>
      <c r="J144" s="1" t="s">
        <v>46</v>
      </c>
      <c r="K144" s="1">
        <v>71</v>
      </c>
      <c r="L144" s="1">
        <v>27067</v>
      </c>
      <c r="M144" s="2">
        <f t="shared" si="30"/>
        <v>1921757</v>
      </c>
      <c r="N144" s="1">
        <v>318242.96000000002</v>
      </c>
      <c r="O144" s="1">
        <f t="shared" si="31"/>
        <v>2239999.96</v>
      </c>
      <c r="P144" s="1">
        <v>5831</v>
      </c>
      <c r="Q144" s="1">
        <f t="shared" si="32"/>
        <v>2234168.96</v>
      </c>
      <c r="R144" s="1">
        <v>323902</v>
      </c>
      <c r="S144" s="1">
        <f t="shared" si="36"/>
        <v>129560.8</v>
      </c>
      <c r="T144" s="1">
        <f t="shared" si="33"/>
        <v>842145.2</v>
      </c>
      <c r="U144" s="1">
        <v>1295608</v>
      </c>
      <c r="V144" s="1">
        <f t="shared" si="29"/>
        <v>938560.96</v>
      </c>
      <c r="W144" s="1">
        <v>4</v>
      </c>
    </row>
    <row r="145" spans="1:23" x14ac:dyDescent="0.25">
      <c r="A145" s="1" t="s">
        <v>182</v>
      </c>
      <c r="B145" s="1" t="s">
        <v>34</v>
      </c>
      <c r="C145" s="1" t="s">
        <v>408</v>
      </c>
      <c r="D145" s="1" t="s">
        <v>62</v>
      </c>
      <c r="E145" s="1" t="s">
        <v>43</v>
      </c>
      <c r="F145" s="1" t="s">
        <v>24</v>
      </c>
      <c r="G145" s="1" t="s">
        <v>25</v>
      </c>
      <c r="H145" s="1" t="s">
        <v>399</v>
      </c>
      <c r="I145" s="1" t="s">
        <v>395</v>
      </c>
      <c r="J145" s="1" t="s">
        <v>46</v>
      </c>
      <c r="K145" s="1">
        <v>135</v>
      </c>
      <c r="L145" s="1">
        <v>1029</v>
      </c>
      <c r="M145" s="2">
        <f t="shared" si="30"/>
        <v>138915</v>
      </c>
      <c r="N145" s="1">
        <v>23754.47</v>
      </c>
      <c r="O145" s="1">
        <f t="shared" si="31"/>
        <v>162669.47</v>
      </c>
      <c r="P145" s="1">
        <v>5303</v>
      </c>
      <c r="Q145" s="1">
        <f t="shared" si="32"/>
        <v>157366.47</v>
      </c>
      <c r="R145" s="1">
        <v>23726.25</v>
      </c>
      <c r="S145" s="1">
        <f t="shared" si="34"/>
        <v>18981</v>
      </c>
      <c r="T145" s="1">
        <f t="shared" si="33"/>
        <v>52197.75</v>
      </c>
      <c r="U145" s="1">
        <v>94905</v>
      </c>
      <c r="V145" s="1">
        <f t="shared" si="29"/>
        <v>62461.47</v>
      </c>
      <c r="W145" s="1">
        <v>4.7</v>
      </c>
    </row>
    <row r="146" spans="1:23" x14ac:dyDescent="0.25">
      <c r="A146" s="1" t="s">
        <v>183</v>
      </c>
      <c r="B146" s="1" t="s">
        <v>37</v>
      </c>
      <c r="C146" s="1" t="s">
        <v>408</v>
      </c>
      <c r="D146" s="1" t="s">
        <v>78</v>
      </c>
      <c r="E146" s="1" t="s">
        <v>49</v>
      </c>
      <c r="F146" s="1" t="s">
        <v>17</v>
      </c>
      <c r="G146" s="1" t="s">
        <v>75</v>
      </c>
      <c r="H146" s="1" t="s">
        <v>399</v>
      </c>
      <c r="I146" s="1" t="s">
        <v>396</v>
      </c>
      <c r="J146" s="1" t="s">
        <v>46</v>
      </c>
      <c r="K146" s="1">
        <v>97</v>
      </c>
      <c r="L146" s="1">
        <v>5568</v>
      </c>
      <c r="M146" s="2">
        <f t="shared" si="30"/>
        <v>540096</v>
      </c>
      <c r="N146" s="1">
        <v>97217.279999999999</v>
      </c>
      <c r="O146" s="1">
        <f t="shared" si="31"/>
        <v>637313.28000000003</v>
      </c>
      <c r="P146" s="1">
        <v>8238</v>
      </c>
      <c r="Q146" s="1">
        <f t="shared" si="32"/>
        <v>629075.28</v>
      </c>
      <c r="R146" s="1">
        <f>0.62*U146</f>
        <v>278267.77999999997</v>
      </c>
      <c r="S146" s="1">
        <f>U146*0.2</f>
        <v>89763.8</v>
      </c>
      <c r="T146" s="1">
        <f t="shared" si="33"/>
        <v>80787.420000000042</v>
      </c>
      <c r="U146" s="1">
        <v>448819</v>
      </c>
      <c r="V146" s="1">
        <f t="shared" si="29"/>
        <v>180256.28000000003</v>
      </c>
      <c r="W146" s="1">
        <v>4.0999999999999996</v>
      </c>
    </row>
    <row r="147" spans="1:23" x14ac:dyDescent="0.25">
      <c r="A147" s="1" t="s">
        <v>45</v>
      </c>
      <c r="B147" s="1" t="s">
        <v>69</v>
      </c>
      <c r="C147" s="1" t="s">
        <v>408</v>
      </c>
      <c r="D147" s="1" t="s">
        <v>15</v>
      </c>
      <c r="E147" s="1" t="s">
        <v>16</v>
      </c>
      <c r="F147" s="1" t="s">
        <v>24</v>
      </c>
      <c r="G147" s="1" t="s">
        <v>143</v>
      </c>
      <c r="H147" s="1" t="s">
        <v>399</v>
      </c>
      <c r="I147" s="1" t="s">
        <v>39</v>
      </c>
      <c r="J147" s="1" t="s">
        <v>26</v>
      </c>
      <c r="K147" s="1">
        <v>25</v>
      </c>
      <c r="L147" s="1">
        <v>30524</v>
      </c>
      <c r="M147" s="2">
        <f t="shared" si="30"/>
        <v>763100</v>
      </c>
      <c r="N147" s="1">
        <v>116754.3</v>
      </c>
      <c r="O147" s="1">
        <f t="shared" si="31"/>
        <v>879854.3</v>
      </c>
      <c r="P147" s="1">
        <v>8769</v>
      </c>
      <c r="Q147" s="1">
        <f t="shared" si="32"/>
        <v>871085.3</v>
      </c>
      <c r="R147" s="1">
        <v>454125</v>
      </c>
      <c r="S147" s="1">
        <f t="shared" si="34"/>
        <v>121100</v>
      </c>
      <c r="T147" s="1">
        <f t="shared" si="33"/>
        <v>30275</v>
      </c>
      <c r="U147" s="1">
        <v>605500</v>
      </c>
      <c r="V147" s="1">
        <f t="shared" si="29"/>
        <v>265585.30000000005</v>
      </c>
      <c r="W147" s="1">
        <v>3.7</v>
      </c>
    </row>
    <row r="148" spans="1:23" x14ac:dyDescent="0.25">
      <c r="A148" s="1" t="s">
        <v>184</v>
      </c>
      <c r="B148" s="1" t="s">
        <v>69</v>
      </c>
      <c r="C148" s="1" t="s">
        <v>408</v>
      </c>
      <c r="D148" s="1" t="s">
        <v>55</v>
      </c>
      <c r="E148" s="1" t="s">
        <v>56</v>
      </c>
      <c r="F148" s="1" t="s">
        <v>17</v>
      </c>
      <c r="G148" s="1" t="s">
        <v>35</v>
      </c>
      <c r="H148" s="1" t="s">
        <v>399</v>
      </c>
      <c r="I148" s="1" t="s">
        <v>19</v>
      </c>
      <c r="J148" s="1" t="s">
        <v>46</v>
      </c>
      <c r="K148" s="1">
        <v>141</v>
      </c>
      <c r="L148" s="1">
        <v>6063</v>
      </c>
      <c r="M148" s="2">
        <f t="shared" si="30"/>
        <v>854883</v>
      </c>
      <c r="N148" s="1">
        <v>130797.1</v>
      </c>
      <c r="O148" s="1">
        <f t="shared" si="31"/>
        <v>985680.1</v>
      </c>
      <c r="P148" s="1">
        <v>6836</v>
      </c>
      <c r="Q148" s="1">
        <f t="shared" si="32"/>
        <v>978844.1</v>
      </c>
      <c r="R148" s="1">
        <f t="shared" ref="R148:R149" si="37">0.62*U148</f>
        <v>427046.7</v>
      </c>
      <c r="S148" s="1">
        <f t="shared" si="34"/>
        <v>137757</v>
      </c>
      <c r="T148" s="1">
        <f t="shared" si="33"/>
        <v>123981.29999999999</v>
      </c>
      <c r="U148" s="1">
        <v>688785</v>
      </c>
      <c r="V148" s="1">
        <f t="shared" si="29"/>
        <v>290059.09999999998</v>
      </c>
      <c r="W148" s="1">
        <v>3.7</v>
      </c>
    </row>
    <row r="149" spans="1:23" x14ac:dyDescent="0.25">
      <c r="A149" s="1" t="s">
        <v>185</v>
      </c>
      <c r="B149" s="1" t="s">
        <v>21</v>
      </c>
      <c r="C149" s="1" t="s">
        <v>408</v>
      </c>
      <c r="D149" s="1" t="s">
        <v>62</v>
      </c>
      <c r="E149" s="1" t="s">
        <v>43</v>
      </c>
      <c r="F149" s="1" t="s">
        <v>17</v>
      </c>
      <c r="G149" s="1" t="s">
        <v>38</v>
      </c>
      <c r="H149" s="1" t="s">
        <v>398</v>
      </c>
      <c r="I149" s="1" t="s">
        <v>397</v>
      </c>
      <c r="J149" s="1" t="s">
        <v>26</v>
      </c>
      <c r="K149" s="1">
        <v>100</v>
      </c>
      <c r="L149" s="1">
        <v>20952</v>
      </c>
      <c r="M149" s="2">
        <f t="shared" si="30"/>
        <v>2095200</v>
      </c>
      <c r="N149" s="1">
        <v>346965.12</v>
      </c>
      <c r="O149" s="1">
        <f t="shared" si="31"/>
        <v>2442165.12</v>
      </c>
      <c r="P149" s="1">
        <v>9762</v>
      </c>
      <c r="Q149" s="1">
        <f t="shared" si="32"/>
        <v>2432403.12</v>
      </c>
      <c r="R149" s="1">
        <f t="shared" si="37"/>
        <v>851074</v>
      </c>
      <c r="S149" s="1">
        <f t="shared" si="34"/>
        <v>274540</v>
      </c>
      <c r="T149" s="1">
        <f t="shared" si="33"/>
        <v>247086</v>
      </c>
      <c r="U149" s="1">
        <v>1372700</v>
      </c>
      <c r="V149" s="1">
        <f t="shared" si="29"/>
        <v>1059703.1200000001</v>
      </c>
      <c r="W149" s="1">
        <v>4.0999999999999996</v>
      </c>
    </row>
    <row r="150" spans="1:23" x14ac:dyDescent="0.25">
      <c r="A150" s="1" t="s">
        <v>186</v>
      </c>
      <c r="B150" s="1" t="s">
        <v>14</v>
      </c>
      <c r="C150" s="1" t="s">
        <v>408</v>
      </c>
      <c r="D150" s="1" t="s">
        <v>48</v>
      </c>
      <c r="E150" s="1" t="s">
        <v>49</v>
      </c>
      <c r="F150" s="1" t="s">
        <v>59</v>
      </c>
      <c r="G150" s="1" t="s">
        <v>67</v>
      </c>
      <c r="H150" s="1" t="s">
        <v>398</v>
      </c>
      <c r="I150" s="1" t="s">
        <v>395</v>
      </c>
      <c r="J150" s="1" t="s">
        <v>26</v>
      </c>
      <c r="K150" s="1">
        <v>172</v>
      </c>
      <c r="L150" s="1">
        <v>9747</v>
      </c>
      <c r="M150" s="2">
        <f t="shared" si="30"/>
        <v>1676484</v>
      </c>
      <c r="N150" s="1">
        <v>286678.76</v>
      </c>
      <c r="O150" s="1">
        <f t="shared" si="31"/>
        <v>1963162.76</v>
      </c>
      <c r="P150" s="1">
        <v>9485</v>
      </c>
      <c r="Q150" s="1">
        <f t="shared" si="32"/>
        <v>1953677.76</v>
      </c>
      <c r="R150" s="1">
        <f>0.7*U150</f>
        <v>976323.6</v>
      </c>
      <c r="S150" s="1">
        <f t="shared" si="34"/>
        <v>278949.60000000003</v>
      </c>
      <c r="T150" s="1">
        <f t="shared" si="33"/>
        <v>139474.79999999993</v>
      </c>
      <c r="U150" s="1">
        <v>1394748</v>
      </c>
      <c r="V150" s="1">
        <f t="shared" si="29"/>
        <v>558929.76</v>
      </c>
      <c r="W150" s="1">
        <v>4.3</v>
      </c>
    </row>
    <row r="151" spans="1:23" x14ac:dyDescent="0.25">
      <c r="A151" s="1" t="s">
        <v>108</v>
      </c>
      <c r="B151" s="1" t="s">
        <v>77</v>
      </c>
      <c r="C151" s="1" t="s">
        <v>408</v>
      </c>
      <c r="D151" s="1" t="s">
        <v>48</v>
      </c>
      <c r="E151" s="1" t="s">
        <v>49</v>
      </c>
      <c r="F151" s="1" t="s">
        <v>17</v>
      </c>
      <c r="G151" s="1" t="s">
        <v>18</v>
      </c>
      <c r="H151" s="1" t="s">
        <v>399</v>
      </c>
      <c r="I151" s="1" t="s">
        <v>395</v>
      </c>
      <c r="J151" s="1" t="s">
        <v>26</v>
      </c>
      <c r="K151" s="1">
        <v>17</v>
      </c>
      <c r="L151" s="1">
        <v>39444</v>
      </c>
      <c r="M151" s="2">
        <f t="shared" si="30"/>
        <v>670548</v>
      </c>
      <c r="N151" s="1">
        <v>102593.84</v>
      </c>
      <c r="O151" s="1">
        <f t="shared" si="31"/>
        <v>773141.84</v>
      </c>
      <c r="P151" s="1">
        <v>7973</v>
      </c>
      <c r="Q151" s="1">
        <f t="shared" si="32"/>
        <v>765168.84</v>
      </c>
      <c r="R151" s="1">
        <f t="shared" ref="R151:R152" si="38">0.62*U151</f>
        <v>260738.52</v>
      </c>
      <c r="S151" s="1">
        <f t="shared" si="34"/>
        <v>84109.200000000012</v>
      </c>
      <c r="T151" s="1">
        <f t="shared" si="33"/>
        <v>75698.28</v>
      </c>
      <c r="U151" s="1">
        <v>420546</v>
      </c>
      <c r="V151" s="1">
        <f t="shared" si="29"/>
        <v>344622.83999999997</v>
      </c>
      <c r="W151" s="1">
        <v>4.2</v>
      </c>
    </row>
    <row r="152" spans="1:23" x14ac:dyDescent="0.25">
      <c r="A152" s="1" t="s">
        <v>187</v>
      </c>
      <c r="B152" s="1" t="s">
        <v>69</v>
      </c>
      <c r="C152" s="1" t="s">
        <v>408</v>
      </c>
      <c r="D152" s="1" t="s">
        <v>78</v>
      </c>
      <c r="E152" s="1" t="s">
        <v>49</v>
      </c>
      <c r="F152" s="1" t="s">
        <v>17</v>
      </c>
      <c r="G152" s="1" t="s">
        <v>38</v>
      </c>
      <c r="H152" s="1" t="s">
        <v>398</v>
      </c>
      <c r="I152" s="1" t="s">
        <v>397</v>
      </c>
      <c r="J152" s="1" t="s">
        <v>46</v>
      </c>
      <c r="K152" s="1">
        <v>100</v>
      </c>
      <c r="L152" s="1">
        <v>22699</v>
      </c>
      <c r="M152" s="2">
        <f t="shared" si="30"/>
        <v>2269900</v>
      </c>
      <c r="N152" s="1">
        <v>375895.44</v>
      </c>
      <c r="O152" s="1">
        <f t="shared" si="31"/>
        <v>2645795.44</v>
      </c>
      <c r="P152" s="1">
        <v>9068</v>
      </c>
      <c r="Q152" s="1">
        <f t="shared" si="32"/>
        <v>2636727.44</v>
      </c>
      <c r="R152" s="1">
        <f t="shared" si="38"/>
        <v>927396</v>
      </c>
      <c r="S152" s="1">
        <f t="shared" si="34"/>
        <v>299160</v>
      </c>
      <c r="T152" s="1">
        <f t="shared" si="33"/>
        <v>269244</v>
      </c>
      <c r="U152" s="1">
        <v>1495800</v>
      </c>
      <c r="V152" s="1">
        <f t="shared" si="29"/>
        <v>1140927.44</v>
      </c>
      <c r="W152" s="1">
        <v>4.9000000000000004</v>
      </c>
    </row>
    <row r="153" spans="1:23" x14ac:dyDescent="0.25">
      <c r="A153" s="1" t="s">
        <v>92</v>
      </c>
      <c r="B153" s="1" t="s">
        <v>32</v>
      </c>
      <c r="C153" s="1" t="s">
        <v>408</v>
      </c>
      <c r="D153" s="1" t="s">
        <v>78</v>
      </c>
      <c r="E153" s="1" t="s">
        <v>49</v>
      </c>
      <c r="F153" s="1" t="s">
        <v>29</v>
      </c>
      <c r="G153" s="1" t="s">
        <v>87</v>
      </c>
      <c r="H153" s="1" t="s">
        <v>399</v>
      </c>
      <c r="I153" s="1" t="s">
        <v>396</v>
      </c>
      <c r="J153" s="1" t="s">
        <v>26</v>
      </c>
      <c r="K153" s="1">
        <v>163</v>
      </c>
      <c r="L153" s="1">
        <v>18323</v>
      </c>
      <c r="M153" s="2">
        <f t="shared" si="30"/>
        <v>2986649</v>
      </c>
      <c r="N153" s="1">
        <v>456957.3</v>
      </c>
      <c r="O153" s="1">
        <f t="shared" si="31"/>
        <v>3443606.3</v>
      </c>
      <c r="P153" s="1">
        <v>7476</v>
      </c>
      <c r="Q153" s="1">
        <f t="shared" si="32"/>
        <v>3436130.3</v>
      </c>
      <c r="R153" s="1">
        <v>563531.75</v>
      </c>
      <c r="S153" s="1">
        <f t="shared" ref="S153:S154" si="39">U153*0.1</f>
        <v>225412.7</v>
      </c>
      <c r="T153" s="1">
        <f t="shared" si="33"/>
        <v>1465182.55</v>
      </c>
      <c r="U153" s="1">
        <v>2254127</v>
      </c>
      <c r="V153" s="1">
        <f t="shared" si="29"/>
        <v>1182003.2999999998</v>
      </c>
      <c r="W153" s="1">
        <v>4.8</v>
      </c>
    </row>
    <row r="154" spans="1:23" x14ac:dyDescent="0.25">
      <c r="A154" s="1" t="s">
        <v>131</v>
      </c>
      <c r="B154" s="1" t="s">
        <v>34</v>
      </c>
      <c r="C154" s="1" t="s">
        <v>408</v>
      </c>
      <c r="D154" s="1" t="s">
        <v>52</v>
      </c>
      <c r="E154" s="1" t="s">
        <v>23</v>
      </c>
      <c r="F154" s="1" t="s">
        <v>29</v>
      </c>
      <c r="G154" s="1" t="s">
        <v>53</v>
      </c>
      <c r="H154" s="1" t="s">
        <v>399</v>
      </c>
      <c r="I154" s="1" t="s">
        <v>395</v>
      </c>
      <c r="J154" s="1" t="s">
        <v>46</v>
      </c>
      <c r="K154" s="1">
        <v>76</v>
      </c>
      <c r="L154" s="1">
        <v>19415</v>
      </c>
      <c r="M154" s="2">
        <f t="shared" si="30"/>
        <v>1475540</v>
      </c>
      <c r="N154" s="1">
        <v>225757.62</v>
      </c>
      <c r="O154" s="1">
        <f t="shared" si="31"/>
        <v>1701297.62</v>
      </c>
      <c r="P154" s="1">
        <v>8306</v>
      </c>
      <c r="Q154" s="1">
        <f t="shared" si="32"/>
        <v>1692991.62</v>
      </c>
      <c r="R154" s="1">
        <v>586492</v>
      </c>
      <c r="S154" s="1">
        <f t="shared" si="39"/>
        <v>117298.40000000001</v>
      </c>
      <c r="T154" s="1">
        <f t="shared" si="33"/>
        <v>469193.60000000009</v>
      </c>
      <c r="U154" s="1">
        <v>1172984</v>
      </c>
      <c r="V154" s="1">
        <f t="shared" si="29"/>
        <v>520007.62000000011</v>
      </c>
      <c r="W154" s="1">
        <v>4.2</v>
      </c>
    </row>
    <row r="155" spans="1:23" x14ac:dyDescent="0.25">
      <c r="A155" s="1" t="s">
        <v>188</v>
      </c>
      <c r="B155" s="1" t="s">
        <v>109</v>
      </c>
      <c r="C155" s="1" t="s">
        <v>408</v>
      </c>
      <c r="D155" s="1" t="s">
        <v>74</v>
      </c>
      <c r="E155" s="1" t="s">
        <v>56</v>
      </c>
      <c r="F155" s="1" t="s">
        <v>59</v>
      </c>
      <c r="G155" s="1" t="s">
        <v>67</v>
      </c>
      <c r="H155" s="1" t="s">
        <v>399</v>
      </c>
      <c r="I155" s="1" t="s">
        <v>19</v>
      </c>
      <c r="J155" s="1" t="s">
        <v>26</v>
      </c>
      <c r="K155" s="1">
        <v>45</v>
      </c>
      <c r="L155" s="1">
        <v>23725</v>
      </c>
      <c r="M155" s="2">
        <f t="shared" si="30"/>
        <v>1067625</v>
      </c>
      <c r="N155" s="1">
        <v>192172.5</v>
      </c>
      <c r="O155" s="1">
        <f t="shared" si="31"/>
        <v>1259797.5</v>
      </c>
      <c r="P155" s="1">
        <v>5195</v>
      </c>
      <c r="Q155" s="1">
        <f t="shared" si="32"/>
        <v>1254602.5</v>
      </c>
      <c r="R155" s="1">
        <f t="shared" ref="R155:R156" si="40">0.7*U155</f>
        <v>564039</v>
      </c>
      <c r="S155" s="1">
        <f t="shared" si="34"/>
        <v>161154</v>
      </c>
      <c r="T155" s="1">
        <f t="shared" si="33"/>
        <v>80577</v>
      </c>
      <c r="U155" s="1">
        <v>805770</v>
      </c>
      <c r="V155" s="1">
        <f t="shared" si="29"/>
        <v>448832.5</v>
      </c>
      <c r="W155" s="1">
        <v>3.7</v>
      </c>
    </row>
    <row r="156" spans="1:23" x14ac:dyDescent="0.25">
      <c r="A156" s="1" t="s">
        <v>176</v>
      </c>
      <c r="B156" s="1" t="s">
        <v>28</v>
      </c>
      <c r="C156" s="1" t="s">
        <v>408</v>
      </c>
      <c r="D156" s="1" t="s">
        <v>42</v>
      </c>
      <c r="E156" s="1" t="s">
        <v>43</v>
      </c>
      <c r="F156" s="1" t="s">
        <v>59</v>
      </c>
      <c r="G156" s="1" t="s">
        <v>67</v>
      </c>
      <c r="H156" s="1" t="s">
        <v>399</v>
      </c>
      <c r="I156" s="1" t="s">
        <v>395</v>
      </c>
      <c r="J156" s="1" t="s">
        <v>26</v>
      </c>
      <c r="K156" s="1">
        <v>140</v>
      </c>
      <c r="L156" s="1">
        <v>21719</v>
      </c>
      <c r="M156" s="2">
        <f t="shared" si="30"/>
        <v>3040660</v>
      </c>
      <c r="N156" s="1">
        <v>465220.98</v>
      </c>
      <c r="O156" s="1">
        <f t="shared" si="31"/>
        <v>3505880.98</v>
      </c>
      <c r="P156" s="1">
        <v>7880</v>
      </c>
      <c r="Q156" s="1">
        <f t="shared" si="32"/>
        <v>3498000.98</v>
      </c>
      <c r="R156" s="1">
        <f t="shared" si="40"/>
        <v>1340248</v>
      </c>
      <c r="S156" s="1">
        <f t="shared" si="34"/>
        <v>382928</v>
      </c>
      <c r="T156" s="1">
        <f t="shared" si="33"/>
        <v>191464</v>
      </c>
      <c r="U156" s="1">
        <v>1914640</v>
      </c>
      <c r="V156" s="1">
        <f t="shared" si="29"/>
        <v>1583360.98</v>
      </c>
      <c r="W156" s="1">
        <v>4.0999999999999996</v>
      </c>
    </row>
    <row r="157" spans="1:23" x14ac:dyDescent="0.25">
      <c r="A157" s="1" t="s">
        <v>33</v>
      </c>
      <c r="B157" s="1" t="s">
        <v>21</v>
      </c>
      <c r="C157" s="1" t="s">
        <v>408</v>
      </c>
      <c r="D157" s="1" t="s">
        <v>15</v>
      </c>
      <c r="E157" s="1" t="s">
        <v>16</v>
      </c>
      <c r="F157" s="1" t="s">
        <v>24</v>
      </c>
      <c r="G157" s="1" t="s">
        <v>63</v>
      </c>
      <c r="H157" s="1" t="s">
        <v>399</v>
      </c>
      <c r="I157" s="1" t="s">
        <v>395</v>
      </c>
      <c r="J157" s="1" t="s">
        <v>26</v>
      </c>
      <c r="K157" s="1">
        <v>91</v>
      </c>
      <c r="L157" s="1">
        <v>1893</v>
      </c>
      <c r="M157" s="2">
        <f t="shared" si="30"/>
        <v>172263</v>
      </c>
      <c r="N157" s="1">
        <v>29456.97</v>
      </c>
      <c r="O157" s="1">
        <f t="shared" si="31"/>
        <v>201719.97</v>
      </c>
      <c r="P157" s="1">
        <v>7926</v>
      </c>
      <c r="Q157" s="1">
        <f t="shared" si="32"/>
        <v>193793.97</v>
      </c>
      <c r="R157" s="1">
        <v>29575</v>
      </c>
      <c r="S157" s="1">
        <f t="shared" si="34"/>
        <v>23660</v>
      </c>
      <c r="T157" s="1">
        <f t="shared" si="33"/>
        <v>65065</v>
      </c>
      <c r="U157" s="1">
        <v>118300</v>
      </c>
      <c r="V157" s="1">
        <f t="shared" si="29"/>
        <v>75493.97</v>
      </c>
      <c r="W157" s="1">
        <v>3.6</v>
      </c>
    </row>
    <row r="158" spans="1:23" x14ac:dyDescent="0.25">
      <c r="A158" s="1" t="s">
        <v>189</v>
      </c>
      <c r="B158" s="1" t="s">
        <v>32</v>
      </c>
      <c r="C158" s="1" t="s">
        <v>408</v>
      </c>
      <c r="D158" s="1" t="s">
        <v>78</v>
      </c>
      <c r="E158" s="1" t="s">
        <v>49</v>
      </c>
      <c r="F158" s="1" t="s">
        <v>29</v>
      </c>
      <c r="G158" s="1" t="s">
        <v>30</v>
      </c>
      <c r="H158" s="1" t="s">
        <v>399</v>
      </c>
      <c r="I158" s="1" t="s">
        <v>397</v>
      </c>
      <c r="J158" s="1" t="s">
        <v>46</v>
      </c>
      <c r="K158" s="1">
        <v>110</v>
      </c>
      <c r="L158" s="1">
        <v>29000</v>
      </c>
      <c r="M158" s="2">
        <f t="shared" si="30"/>
        <v>3190000</v>
      </c>
      <c r="N158" s="1">
        <v>528264</v>
      </c>
      <c r="O158" s="1">
        <f t="shared" si="31"/>
        <v>3718264</v>
      </c>
      <c r="P158" s="1">
        <v>5022</v>
      </c>
      <c r="Q158" s="1">
        <f t="shared" si="32"/>
        <v>3713242</v>
      </c>
      <c r="R158" s="1">
        <v>1070245</v>
      </c>
      <c r="S158" s="1">
        <f>U158*0.1</f>
        <v>214049</v>
      </c>
      <c r="T158" s="1">
        <f t="shared" si="33"/>
        <v>856196</v>
      </c>
      <c r="U158" s="1">
        <v>2140490</v>
      </c>
      <c r="V158" s="1">
        <f t="shared" si="29"/>
        <v>1572752</v>
      </c>
      <c r="W158" s="1">
        <v>4.0999999999999996</v>
      </c>
    </row>
    <row r="159" spans="1:23" x14ac:dyDescent="0.25">
      <c r="A159" s="1" t="s">
        <v>190</v>
      </c>
      <c r="B159" s="1" t="s">
        <v>34</v>
      </c>
      <c r="C159" s="1" t="s">
        <v>408</v>
      </c>
      <c r="D159" s="1" t="s">
        <v>62</v>
      </c>
      <c r="E159" s="1" t="s">
        <v>43</v>
      </c>
      <c r="F159" s="1" t="s">
        <v>17</v>
      </c>
      <c r="G159" s="1" t="s">
        <v>72</v>
      </c>
      <c r="H159" s="1" t="s">
        <v>398</v>
      </c>
      <c r="I159" s="1" t="s">
        <v>19</v>
      </c>
      <c r="J159" s="1" t="s">
        <v>46</v>
      </c>
      <c r="K159" s="1">
        <v>131</v>
      </c>
      <c r="L159" s="1">
        <v>30497</v>
      </c>
      <c r="M159" s="2">
        <f t="shared" si="30"/>
        <v>3995107</v>
      </c>
      <c r="N159" s="1">
        <v>683163.3</v>
      </c>
      <c r="O159" s="1">
        <f t="shared" si="31"/>
        <v>4678270.3</v>
      </c>
      <c r="P159" s="1">
        <v>5305</v>
      </c>
      <c r="Q159" s="1">
        <f t="shared" si="32"/>
        <v>4672965.3</v>
      </c>
      <c r="R159" s="1">
        <f>0.62*U159</f>
        <v>1593698.84</v>
      </c>
      <c r="S159" s="1">
        <f>U159*0.2</f>
        <v>514096.4</v>
      </c>
      <c r="T159" s="1">
        <f t="shared" si="33"/>
        <v>462686.76</v>
      </c>
      <c r="U159" s="1">
        <v>2570482</v>
      </c>
      <c r="V159" s="1">
        <f t="shared" si="29"/>
        <v>2102483.2999999998</v>
      </c>
      <c r="W159" s="1">
        <v>4.8</v>
      </c>
    </row>
    <row r="160" spans="1:23" x14ac:dyDescent="0.25">
      <c r="A160" s="1" t="s">
        <v>191</v>
      </c>
      <c r="B160" s="1" t="s">
        <v>69</v>
      </c>
      <c r="C160" s="1" t="s">
        <v>408</v>
      </c>
      <c r="D160" s="1" t="s">
        <v>74</v>
      </c>
      <c r="E160" s="1" t="s">
        <v>56</v>
      </c>
      <c r="F160" s="1" t="s">
        <v>24</v>
      </c>
      <c r="G160" s="1" t="s">
        <v>119</v>
      </c>
      <c r="H160" s="1" t="s">
        <v>398</v>
      </c>
      <c r="I160" s="1" t="s">
        <v>19</v>
      </c>
      <c r="J160" s="1" t="s">
        <v>26</v>
      </c>
      <c r="K160" s="1">
        <v>33</v>
      </c>
      <c r="L160" s="1">
        <v>15991</v>
      </c>
      <c r="M160" s="2">
        <f t="shared" si="30"/>
        <v>527703</v>
      </c>
      <c r="N160" s="1">
        <v>83588.160000000003</v>
      </c>
      <c r="O160" s="1">
        <f t="shared" si="31"/>
        <v>611291.16</v>
      </c>
      <c r="P160" s="1">
        <v>8375</v>
      </c>
      <c r="Q160" s="1">
        <f t="shared" si="32"/>
        <v>602916.16</v>
      </c>
      <c r="R160" s="1">
        <v>202455</v>
      </c>
      <c r="S160" s="1">
        <f t="shared" si="34"/>
        <v>80982</v>
      </c>
      <c r="T160" s="1">
        <f t="shared" si="33"/>
        <v>121473</v>
      </c>
      <c r="U160" s="1">
        <v>404910</v>
      </c>
      <c r="V160" s="1">
        <f t="shared" si="29"/>
        <v>198006.16000000003</v>
      </c>
      <c r="W160" s="1">
        <v>4.8</v>
      </c>
    </row>
    <row r="161" spans="1:23" x14ac:dyDescent="0.25">
      <c r="A161" s="1" t="s">
        <v>192</v>
      </c>
      <c r="B161" s="1" t="s">
        <v>34</v>
      </c>
      <c r="C161" s="1" t="s">
        <v>408</v>
      </c>
      <c r="D161" s="1" t="s">
        <v>52</v>
      </c>
      <c r="E161" s="1" t="s">
        <v>23</v>
      </c>
      <c r="F161" s="1" t="s">
        <v>59</v>
      </c>
      <c r="G161" s="1" t="s">
        <v>85</v>
      </c>
      <c r="H161" s="1" t="s">
        <v>399</v>
      </c>
      <c r="I161" s="1" t="s">
        <v>39</v>
      </c>
      <c r="J161" s="1" t="s">
        <v>46</v>
      </c>
      <c r="K161" s="1">
        <v>27</v>
      </c>
      <c r="L161" s="1">
        <v>33757</v>
      </c>
      <c r="M161" s="2">
        <f t="shared" si="30"/>
        <v>911439</v>
      </c>
      <c r="N161" s="1">
        <v>144371.94</v>
      </c>
      <c r="O161" s="1">
        <f t="shared" si="31"/>
        <v>1055810.94</v>
      </c>
      <c r="P161" s="1">
        <v>8607</v>
      </c>
      <c r="Q161" s="1">
        <f t="shared" si="32"/>
        <v>1047203.94</v>
      </c>
      <c r="R161" s="1">
        <f t="shared" ref="R161:R162" si="41">0.7*U161</f>
        <v>408788.1</v>
      </c>
      <c r="S161" s="1">
        <f t="shared" si="34"/>
        <v>116796.6</v>
      </c>
      <c r="T161" s="1">
        <f t="shared" si="33"/>
        <v>58398.300000000047</v>
      </c>
      <c r="U161" s="1">
        <v>583983</v>
      </c>
      <c r="V161" s="1">
        <f t="shared" si="29"/>
        <v>463220.93999999994</v>
      </c>
      <c r="W161" s="1">
        <v>4.0999999999999996</v>
      </c>
    </row>
    <row r="162" spans="1:23" x14ac:dyDescent="0.25">
      <c r="A162" s="1" t="s">
        <v>112</v>
      </c>
      <c r="B162" s="1" t="s">
        <v>69</v>
      </c>
      <c r="C162" s="1" t="s">
        <v>408</v>
      </c>
      <c r="D162" s="1" t="s">
        <v>22</v>
      </c>
      <c r="E162" s="1" t="s">
        <v>23</v>
      </c>
      <c r="F162" s="1" t="s">
        <v>59</v>
      </c>
      <c r="G162" s="1" t="s">
        <v>103</v>
      </c>
      <c r="H162" s="1" t="s">
        <v>399</v>
      </c>
      <c r="I162" s="1" t="s">
        <v>39</v>
      </c>
      <c r="J162" s="1" t="s">
        <v>46</v>
      </c>
      <c r="K162" s="1">
        <v>185</v>
      </c>
      <c r="L162" s="1">
        <v>1905</v>
      </c>
      <c r="M162" s="2">
        <f t="shared" si="30"/>
        <v>352425</v>
      </c>
      <c r="N162" s="1">
        <v>63436.5</v>
      </c>
      <c r="O162" s="1">
        <f t="shared" si="31"/>
        <v>415861.5</v>
      </c>
      <c r="P162" s="1">
        <v>9792</v>
      </c>
      <c r="Q162" s="1">
        <f t="shared" si="32"/>
        <v>406069.5</v>
      </c>
      <c r="R162" s="1">
        <f t="shared" si="41"/>
        <v>177156</v>
      </c>
      <c r="S162" s="1">
        <f t="shared" si="34"/>
        <v>50616</v>
      </c>
      <c r="T162" s="1">
        <f t="shared" si="33"/>
        <v>25308</v>
      </c>
      <c r="U162" s="1">
        <v>253080</v>
      </c>
      <c r="V162" s="1">
        <f t="shared" si="29"/>
        <v>152989.5</v>
      </c>
      <c r="W162" s="1">
        <v>4.9000000000000004</v>
      </c>
    </row>
    <row r="163" spans="1:23" x14ac:dyDescent="0.25">
      <c r="A163" s="1" t="s">
        <v>193</v>
      </c>
      <c r="B163" s="1" t="s">
        <v>34</v>
      </c>
      <c r="C163" s="1" t="s">
        <v>408</v>
      </c>
      <c r="D163" s="1" t="s">
        <v>48</v>
      </c>
      <c r="E163" s="1" t="s">
        <v>49</v>
      </c>
      <c r="F163" s="1" t="s">
        <v>29</v>
      </c>
      <c r="G163" s="1" t="s">
        <v>30</v>
      </c>
      <c r="H163" s="1" t="s">
        <v>398</v>
      </c>
      <c r="I163" s="1" t="s">
        <v>39</v>
      </c>
      <c r="J163" s="1" t="s">
        <v>26</v>
      </c>
      <c r="K163" s="1">
        <v>125</v>
      </c>
      <c r="L163" s="1">
        <v>23898</v>
      </c>
      <c r="M163" s="2">
        <f t="shared" si="30"/>
        <v>2987250</v>
      </c>
      <c r="N163" s="1">
        <v>494688.6</v>
      </c>
      <c r="O163" s="1">
        <f t="shared" si="31"/>
        <v>3481938.6</v>
      </c>
      <c r="P163" s="1">
        <v>5628</v>
      </c>
      <c r="Q163" s="1">
        <f t="shared" si="32"/>
        <v>3476310.6</v>
      </c>
      <c r="R163" s="1">
        <v>1200375</v>
      </c>
      <c r="S163" s="1">
        <f>U163*0.1</f>
        <v>240075</v>
      </c>
      <c r="T163" s="1">
        <f t="shared" si="33"/>
        <v>960300</v>
      </c>
      <c r="U163" s="1">
        <v>2400750</v>
      </c>
      <c r="V163" s="1">
        <f t="shared" si="29"/>
        <v>1075560.6000000001</v>
      </c>
      <c r="W163" s="1">
        <v>4.5</v>
      </c>
    </row>
    <row r="164" spans="1:23" x14ac:dyDescent="0.25">
      <c r="A164" s="1" t="s">
        <v>164</v>
      </c>
      <c r="B164" s="1" t="s">
        <v>69</v>
      </c>
      <c r="C164" s="1" t="s">
        <v>408</v>
      </c>
      <c r="D164" s="1" t="s">
        <v>48</v>
      </c>
      <c r="E164" s="1" t="s">
        <v>49</v>
      </c>
      <c r="F164" s="1" t="s">
        <v>17</v>
      </c>
      <c r="G164" s="1" t="s">
        <v>18</v>
      </c>
      <c r="H164" s="1" t="s">
        <v>399</v>
      </c>
      <c r="I164" s="1" t="s">
        <v>396</v>
      </c>
      <c r="J164" s="1" t="s">
        <v>46</v>
      </c>
      <c r="K164" s="1">
        <v>21</v>
      </c>
      <c r="L164" s="1">
        <v>28505</v>
      </c>
      <c r="M164" s="2">
        <f t="shared" si="30"/>
        <v>598605</v>
      </c>
      <c r="N164" s="1">
        <v>102361.46</v>
      </c>
      <c r="O164" s="1">
        <f t="shared" si="31"/>
        <v>700966.46</v>
      </c>
      <c r="P164" s="1">
        <v>6675</v>
      </c>
      <c r="Q164" s="1">
        <f t="shared" si="32"/>
        <v>694291.46</v>
      </c>
      <c r="R164" s="1">
        <f t="shared" ref="R164:R165" si="42">0.62*U164</f>
        <v>234190.74</v>
      </c>
      <c r="S164" s="1">
        <f t="shared" ref="S164:S165" si="43">U164*0.2</f>
        <v>75545.400000000009</v>
      </c>
      <c r="T164" s="1">
        <f t="shared" si="33"/>
        <v>67990.859999999986</v>
      </c>
      <c r="U164" s="1">
        <v>377727</v>
      </c>
      <c r="V164" s="1">
        <f t="shared" si="29"/>
        <v>316564.45999999996</v>
      </c>
      <c r="W164" s="1">
        <v>4.2</v>
      </c>
    </row>
    <row r="165" spans="1:23" x14ac:dyDescent="0.25">
      <c r="A165" s="1" t="s">
        <v>194</v>
      </c>
      <c r="B165" s="1" t="s">
        <v>14</v>
      </c>
      <c r="C165" s="1" t="s">
        <v>408</v>
      </c>
      <c r="D165" s="1" t="s">
        <v>48</v>
      </c>
      <c r="E165" s="1" t="s">
        <v>49</v>
      </c>
      <c r="F165" s="1" t="s">
        <v>17</v>
      </c>
      <c r="G165" s="1" t="s">
        <v>35</v>
      </c>
      <c r="H165" s="1" t="s">
        <v>398</v>
      </c>
      <c r="I165" s="1" t="s">
        <v>19</v>
      </c>
      <c r="J165" s="1" t="s">
        <v>46</v>
      </c>
      <c r="K165" s="1">
        <v>123</v>
      </c>
      <c r="L165" s="1">
        <v>1862</v>
      </c>
      <c r="M165" s="2">
        <f t="shared" si="30"/>
        <v>229026</v>
      </c>
      <c r="N165" s="1">
        <v>37926.71</v>
      </c>
      <c r="O165" s="1">
        <f t="shared" si="31"/>
        <v>266952.71000000002</v>
      </c>
      <c r="P165" s="1">
        <v>8589</v>
      </c>
      <c r="Q165" s="1">
        <f t="shared" si="32"/>
        <v>258363.71000000002</v>
      </c>
      <c r="R165" s="1">
        <f t="shared" si="42"/>
        <v>117821.7</v>
      </c>
      <c r="S165" s="1">
        <f t="shared" si="43"/>
        <v>38007</v>
      </c>
      <c r="T165" s="1">
        <f t="shared" si="33"/>
        <v>34206.300000000003</v>
      </c>
      <c r="U165" s="1">
        <v>190035</v>
      </c>
      <c r="V165" s="1">
        <f t="shared" si="29"/>
        <v>68328.710000000021</v>
      </c>
      <c r="W165" s="1">
        <v>4.5999999999999996</v>
      </c>
    </row>
    <row r="166" spans="1:23" x14ac:dyDescent="0.25">
      <c r="A166" s="1" t="s">
        <v>191</v>
      </c>
      <c r="B166" s="1" t="s">
        <v>109</v>
      </c>
      <c r="C166" s="1" t="s">
        <v>408</v>
      </c>
      <c r="D166" s="1" t="s">
        <v>15</v>
      </c>
      <c r="E166" s="1" t="s">
        <v>16</v>
      </c>
      <c r="F166" s="1" t="s">
        <v>24</v>
      </c>
      <c r="G166" s="1" t="s">
        <v>44</v>
      </c>
      <c r="H166" s="1" t="s">
        <v>398</v>
      </c>
      <c r="I166" s="1" t="s">
        <v>396</v>
      </c>
      <c r="J166" s="1" t="s">
        <v>46</v>
      </c>
      <c r="K166" s="1">
        <v>138</v>
      </c>
      <c r="L166" s="1">
        <v>2370</v>
      </c>
      <c r="M166" s="2">
        <f t="shared" si="30"/>
        <v>327060</v>
      </c>
      <c r="N166" s="1">
        <v>51806.3</v>
      </c>
      <c r="O166" s="1">
        <f t="shared" si="31"/>
        <v>378866.3</v>
      </c>
      <c r="P166" s="1">
        <v>7159</v>
      </c>
      <c r="Q166" s="1">
        <f t="shared" si="32"/>
        <v>371707.3</v>
      </c>
      <c r="R166" s="1">
        <v>109158</v>
      </c>
      <c r="S166" s="1">
        <f t="shared" si="34"/>
        <v>43663.200000000004</v>
      </c>
      <c r="T166" s="1">
        <f t="shared" si="33"/>
        <v>65494.799999999988</v>
      </c>
      <c r="U166" s="1">
        <v>218316</v>
      </c>
      <c r="V166" s="1">
        <f t="shared" si="29"/>
        <v>153391.29999999999</v>
      </c>
      <c r="W166" s="1">
        <v>3.5</v>
      </c>
    </row>
    <row r="167" spans="1:23" x14ac:dyDescent="0.25">
      <c r="A167" s="1" t="s">
        <v>195</v>
      </c>
      <c r="B167" s="1" t="s">
        <v>41</v>
      </c>
      <c r="C167" s="1" t="s">
        <v>408</v>
      </c>
      <c r="D167" s="1" t="s">
        <v>42</v>
      </c>
      <c r="E167" s="1" t="s">
        <v>43</v>
      </c>
      <c r="F167" s="1" t="s">
        <v>24</v>
      </c>
      <c r="G167" s="1" t="s">
        <v>44</v>
      </c>
      <c r="H167" s="1" t="s">
        <v>399</v>
      </c>
      <c r="I167" s="1" t="s">
        <v>39</v>
      </c>
      <c r="J167" s="1" t="s">
        <v>26</v>
      </c>
      <c r="K167" s="1">
        <v>117</v>
      </c>
      <c r="L167" s="1">
        <v>26080</v>
      </c>
      <c r="M167" s="2">
        <f t="shared" si="30"/>
        <v>3051360</v>
      </c>
      <c r="N167" s="1">
        <v>483335.42</v>
      </c>
      <c r="O167" s="1">
        <f t="shared" si="31"/>
        <v>3534695.42</v>
      </c>
      <c r="P167" s="1">
        <v>7369</v>
      </c>
      <c r="Q167" s="1">
        <f t="shared" si="32"/>
        <v>3527326.42</v>
      </c>
      <c r="R167" s="1">
        <v>505761.75</v>
      </c>
      <c r="S167" s="1">
        <f t="shared" si="34"/>
        <v>404609.4</v>
      </c>
      <c r="T167" s="1">
        <f t="shared" si="33"/>
        <v>1112675.8500000001</v>
      </c>
      <c r="U167" s="1">
        <v>2023047</v>
      </c>
      <c r="V167" s="1">
        <f t="shared" si="29"/>
        <v>1504279.42</v>
      </c>
      <c r="W167" s="1">
        <v>4.5999999999999996</v>
      </c>
    </row>
    <row r="168" spans="1:23" x14ac:dyDescent="0.25">
      <c r="A168" s="1" t="s">
        <v>196</v>
      </c>
      <c r="B168" s="1" t="s">
        <v>32</v>
      </c>
      <c r="C168" s="1" t="s">
        <v>408</v>
      </c>
      <c r="D168" s="1" t="s">
        <v>62</v>
      </c>
      <c r="E168" s="1" t="s">
        <v>43</v>
      </c>
      <c r="F168" s="1" t="s">
        <v>29</v>
      </c>
      <c r="G168" s="1" t="s">
        <v>30</v>
      </c>
      <c r="H168" s="1" t="s">
        <v>398</v>
      </c>
      <c r="I168" s="1" t="s">
        <v>39</v>
      </c>
      <c r="J168" s="1" t="s">
        <v>46</v>
      </c>
      <c r="K168" s="1">
        <v>72</v>
      </c>
      <c r="L168" s="1">
        <v>5293</v>
      </c>
      <c r="M168" s="2">
        <f t="shared" si="30"/>
        <v>381096</v>
      </c>
      <c r="N168" s="1">
        <v>68597.279999999999</v>
      </c>
      <c r="O168" s="1">
        <f t="shared" si="31"/>
        <v>449693.28</v>
      </c>
      <c r="P168" s="1">
        <v>9530</v>
      </c>
      <c r="Q168" s="1">
        <f t="shared" si="32"/>
        <v>440163.28</v>
      </c>
      <c r="R168" s="1">
        <v>124128</v>
      </c>
      <c r="S168" s="1">
        <f>U168*0.1</f>
        <v>24825.600000000002</v>
      </c>
      <c r="T168" s="1">
        <f t="shared" si="33"/>
        <v>99302.399999999994</v>
      </c>
      <c r="U168" s="1">
        <v>248256</v>
      </c>
      <c r="V168" s="1">
        <f t="shared" si="29"/>
        <v>191907.28000000003</v>
      </c>
      <c r="W168" s="1">
        <v>5</v>
      </c>
    </row>
    <row r="169" spans="1:23" x14ac:dyDescent="0.25">
      <c r="A169" s="1" t="s">
        <v>31</v>
      </c>
      <c r="B169" s="1" t="s">
        <v>69</v>
      </c>
      <c r="C169" s="1" t="s">
        <v>408</v>
      </c>
      <c r="D169" s="1" t="s">
        <v>22</v>
      </c>
      <c r="E169" s="1" t="s">
        <v>23</v>
      </c>
      <c r="F169" s="1" t="s">
        <v>24</v>
      </c>
      <c r="G169" s="1" t="s">
        <v>119</v>
      </c>
      <c r="H169" s="1" t="s">
        <v>398</v>
      </c>
      <c r="I169" s="1" t="s">
        <v>396</v>
      </c>
      <c r="J169" s="1" t="s">
        <v>46</v>
      </c>
      <c r="K169" s="1">
        <v>151</v>
      </c>
      <c r="L169" s="1">
        <v>1556</v>
      </c>
      <c r="M169" s="2">
        <f t="shared" si="30"/>
        <v>234956</v>
      </c>
      <c r="N169" s="1">
        <v>37217.03</v>
      </c>
      <c r="O169" s="1">
        <f t="shared" si="31"/>
        <v>272173.03000000003</v>
      </c>
      <c r="P169" s="1">
        <v>6822</v>
      </c>
      <c r="Q169" s="1">
        <f t="shared" si="32"/>
        <v>265351.03000000003</v>
      </c>
      <c r="R169" s="1">
        <v>123782.25</v>
      </c>
      <c r="S169" s="1">
        <f t="shared" si="34"/>
        <v>33008.6</v>
      </c>
      <c r="T169" s="1">
        <f t="shared" si="33"/>
        <v>8252.1499999999942</v>
      </c>
      <c r="U169" s="1">
        <v>165043</v>
      </c>
      <c r="V169" s="1">
        <f t="shared" si="29"/>
        <v>100308.03000000003</v>
      </c>
      <c r="W169" s="1">
        <v>4.5999999999999996</v>
      </c>
    </row>
    <row r="170" spans="1:23" x14ac:dyDescent="0.25">
      <c r="A170" s="1" t="s">
        <v>167</v>
      </c>
      <c r="B170" s="1" t="s">
        <v>41</v>
      </c>
      <c r="C170" s="1" t="s">
        <v>408</v>
      </c>
      <c r="D170" s="1" t="s">
        <v>52</v>
      </c>
      <c r="E170" s="1" t="s">
        <v>23</v>
      </c>
      <c r="F170" s="1" t="s">
        <v>17</v>
      </c>
      <c r="G170" s="1" t="s">
        <v>75</v>
      </c>
      <c r="H170" s="1" t="s">
        <v>398</v>
      </c>
      <c r="I170" s="1" t="s">
        <v>395</v>
      </c>
      <c r="J170" s="1" t="s">
        <v>46</v>
      </c>
      <c r="K170" s="1">
        <v>122</v>
      </c>
      <c r="L170" s="1">
        <v>13864</v>
      </c>
      <c r="M170" s="2">
        <f t="shared" si="30"/>
        <v>1691408</v>
      </c>
      <c r="N170" s="1">
        <v>280097.15999999997</v>
      </c>
      <c r="O170" s="1">
        <f t="shared" si="31"/>
        <v>1971505.16</v>
      </c>
      <c r="P170" s="1">
        <v>6505</v>
      </c>
      <c r="Q170" s="1">
        <f t="shared" si="32"/>
        <v>1965000.16</v>
      </c>
      <c r="R170" s="1">
        <f t="shared" ref="R170:R171" si="44">0.62*U170</f>
        <v>811163.36</v>
      </c>
      <c r="S170" s="1">
        <f t="shared" si="34"/>
        <v>261665.6</v>
      </c>
      <c r="T170" s="1">
        <f t="shared" si="33"/>
        <v>235499.04000000004</v>
      </c>
      <c r="U170" s="1">
        <v>1308328</v>
      </c>
      <c r="V170" s="1">
        <f t="shared" si="29"/>
        <v>656672.15999999992</v>
      </c>
      <c r="W170" s="1">
        <v>4.4000000000000004</v>
      </c>
    </row>
    <row r="171" spans="1:23" x14ac:dyDescent="0.25">
      <c r="A171" s="1" t="s">
        <v>197</v>
      </c>
      <c r="B171" s="1" t="s">
        <v>69</v>
      </c>
      <c r="C171" s="1" t="s">
        <v>408</v>
      </c>
      <c r="D171" s="1" t="s">
        <v>62</v>
      </c>
      <c r="E171" s="1" t="s">
        <v>43</v>
      </c>
      <c r="F171" s="1" t="s">
        <v>17</v>
      </c>
      <c r="G171" s="1" t="s">
        <v>75</v>
      </c>
      <c r="H171" s="1" t="s">
        <v>399</v>
      </c>
      <c r="I171" s="1" t="s">
        <v>39</v>
      </c>
      <c r="J171" s="1" t="s">
        <v>26</v>
      </c>
      <c r="K171" s="1">
        <v>41</v>
      </c>
      <c r="L171" s="1">
        <v>22631</v>
      </c>
      <c r="M171" s="2">
        <f t="shared" si="30"/>
        <v>927871</v>
      </c>
      <c r="N171" s="1">
        <v>158665.94</v>
      </c>
      <c r="O171" s="1">
        <f t="shared" si="31"/>
        <v>1086536.94</v>
      </c>
      <c r="P171" s="1">
        <v>8647</v>
      </c>
      <c r="Q171" s="1">
        <f t="shared" si="32"/>
        <v>1077889.94</v>
      </c>
      <c r="R171" s="1">
        <f t="shared" si="44"/>
        <v>417981.06</v>
      </c>
      <c r="S171" s="1">
        <f t="shared" si="34"/>
        <v>134832.6</v>
      </c>
      <c r="T171" s="1">
        <f t="shared" si="33"/>
        <v>121349.34000000003</v>
      </c>
      <c r="U171" s="1">
        <v>674163</v>
      </c>
      <c r="V171" s="1">
        <f t="shared" si="29"/>
        <v>403726.93999999994</v>
      </c>
      <c r="W171" s="1">
        <v>4.5999999999999996</v>
      </c>
    </row>
    <row r="172" spans="1:23" x14ac:dyDescent="0.25">
      <c r="A172" s="1" t="s">
        <v>128</v>
      </c>
      <c r="B172" s="1" t="s">
        <v>51</v>
      </c>
      <c r="C172" s="1" t="s">
        <v>408</v>
      </c>
      <c r="D172" s="1" t="s">
        <v>78</v>
      </c>
      <c r="E172" s="1" t="s">
        <v>49</v>
      </c>
      <c r="F172" s="1" t="s">
        <v>24</v>
      </c>
      <c r="G172" s="1" t="s">
        <v>119</v>
      </c>
      <c r="H172" s="1" t="s">
        <v>398</v>
      </c>
      <c r="I172" s="1" t="s">
        <v>395</v>
      </c>
      <c r="J172" s="1" t="s">
        <v>26</v>
      </c>
      <c r="K172" s="1">
        <v>139</v>
      </c>
      <c r="L172" s="1">
        <v>23110</v>
      </c>
      <c r="M172" s="2">
        <f t="shared" si="30"/>
        <v>3212290</v>
      </c>
      <c r="N172" s="1">
        <v>508826.74</v>
      </c>
      <c r="O172" s="1">
        <f t="shared" si="31"/>
        <v>3721116.74</v>
      </c>
      <c r="P172" s="1">
        <v>7497</v>
      </c>
      <c r="Q172" s="1">
        <f t="shared" si="32"/>
        <v>3713619.74</v>
      </c>
      <c r="R172" s="1">
        <v>1180666</v>
      </c>
      <c r="S172" s="1">
        <f t="shared" si="34"/>
        <v>472266.4</v>
      </c>
      <c r="T172" s="1">
        <f t="shared" si="33"/>
        <v>708399.60000000009</v>
      </c>
      <c r="U172" s="1">
        <v>2361332</v>
      </c>
      <c r="V172" s="1">
        <f t="shared" si="29"/>
        <v>1352287.7400000002</v>
      </c>
      <c r="W172" s="1">
        <v>4.5999999999999996</v>
      </c>
    </row>
    <row r="173" spans="1:23" x14ac:dyDescent="0.25">
      <c r="A173" s="1" t="s">
        <v>198</v>
      </c>
      <c r="B173" s="1" t="s">
        <v>109</v>
      </c>
      <c r="C173" s="1" t="s">
        <v>408</v>
      </c>
      <c r="D173" s="1" t="s">
        <v>48</v>
      </c>
      <c r="E173" s="1" t="s">
        <v>49</v>
      </c>
      <c r="F173" s="1" t="s">
        <v>59</v>
      </c>
      <c r="G173" s="1" t="s">
        <v>85</v>
      </c>
      <c r="H173" s="1" t="s">
        <v>399</v>
      </c>
      <c r="I173" s="1" t="s">
        <v>397</v>
      </c>
      <c r="J173" s="1" t="s">
        <v>46</v>
      </c>
      <c r="K173" s="1">
        <v>27</v>
      </c>
      <c r="L173" s="1">
        <v>35826</v>
      </c>
      <c r="M173" s="2">
        <f t="shared" si="30"/>
        <v>967302</v>
      </c>
      <c r="N173" s="1">
        <v>147997.21</v>
      </c>
      <c r="O173" s="1">
        <f t="shared" si="31"/>
        <v>1115299.21</v>
      </c>
      <c r="P173" s="1">
        <v>7160</v>
      </c>
      <c r="Q173" s="1">
        <f t="shared" si="32"/>
        <v>1108139.21</v>
      </c>
      <c r="R173" s="1">
        <f>0.7*U173</f>
        <v>440823.6</v>
      </c>
      <c r="S173" s="1">
        <f t="shared" si="34"/>
        <v>125949.6</v>
      </c>
      <c r="T173" s="1">
        <f t="shared" si="33"/>
        <v>62974.800000000047</v>
      </c>
      <c r="U173" s="1">
        <v>629748</v>
      </c>
      <c r="V173" s="1">
        <f t="shared" si="29"/>
        <v>478391.20999999996</v>
      </c>
      <c r="W173" s="1">
        <v>4.9000000000000004</v>
      </c>
    </row>
    <row r="174" spans="1:23" x14ac:dyDescent="0.25">
      <c r="A174" s="1" t="s">
        <v>199</v>
      </c>
      <c r="B174" s="1" t="s">
        <v>58</v>
      </c>
      <c r="C174" s="1" t="s">
        <v>408</v>
      </c>
      <c r="D174" s="1" t="s">
        <v>15</v>
      </c>
      <c r="E174" s="1" t="s">
        <v>16</v>
      </c>
      <c r="F174" s="1" t="s">
        <v>29</v>
      </c>
      <c r="G174" s="1" t="s">
        <v>97</v>
      </c>
      <c r="H174" s="1" t="s">
        <v>399</v>
      </c>
      <c r="I174" s="1" t="s">
        <v>397</v>
      </c>
      <c r="J174" s="1" t="s">
        <v>46</v>
      </c>
      <c r="K174" s="1">
        <v>181</v>
      </c>
      <c r="L174" s="1">
        <v>5369</v>
      </c>
      <c r="M174" s="2">
        <f t="shared" si="30"/>
        <v>971789</v>
      </c>
      <c r="N174" s="1">
        <v>160928.26</v>
      </c>
      <c r="O174" s="1">
        <f t="shared" si="31"/>
        <v>1132717.26</v>
      </c>
      <c r="P174" s="1">
        <v>6278</v>
      </c>
      <c r="Q174" s="1">
        <f t="shared" si="32"/>
        <v>1126439.26</v>
      </c>
      <c r="R174" s="1">
        <v>166067.5</v>
      </c>
      <c r="S174" s="1">
        <f>U174*0.1</f>
        <v>66427</v>
      </c>
      <c r="T174" s="1">
        <f t="shared" si="33"/>
        <v>431775.5</v>
      </c>
      <c r="U174" s="1">
        <v>664270</v>
      </c>
      <c r="V174" s="1">
        <f t="shared" si="29"/>
        <v>462169.26</v>
      </c>
      <c r="W174" s="1">
        <v>4.8</v>
      </c>
    </row>
    <row r="175" spans="1:23" x14ac:dyDescent="0.25">
      <c r="A175" s="1" t="s">
        <v>57</v>
      </c>
      <c r="B175" s="1" t="s">
        <v>21</v>
      </c>
      <c r="C175" s="1" t="s">
        <v>408</v>
      </c>
      <c r="D175" s="1" t="s">
        <v>78</v>
      </c>
      <c r="E175" s="1" t="s">
        <v>49</v>
      </c>
      <c r="F175" s="1" t="s">
        <v>17</v>
      </c>
      <c r="G175" s="1" t="s">
        <v>38</v>
      </c>
      <c r="H175" s="1" t="s">
        <v>398</v>
      </c>
      <c r="I175" s="1" t="s">
        <v>19</v>
      </c>
      <c r="J175" s="1" t="s">
        <v>26</v>
      </c>
      <c r="K175" s="1">
        <v>126</v>
      </c>
      <c r="L175" s="1">
        <v>26426</v>
      </c>
      <c r="M175" s="2">
        <f t="shared" si="30"/>
        <v>3329676</v>
      </c>
      <c r="N175" s="1">
        <v>599341.68000000005</v>
      </c>
      <c r="O175" s="1">
        <f t="shared" si="31"/>
        <v>3929017.68</v>
      </c>
      <c r="P175" s="1">
        <v>7923</v>
      </c>
      <c r="Q175" s="1">
        <f t="shared" si="32"/>
        <v>3921094.68</v>
      </c>
      <c r="R175" s="1">
        <f t="shared" ref="R175:R176" si="45">0.62*U175</f>
        <v>1360850.4</v>
      </c>
      <c r="S175" s="1">
        <f t="shared" ref="S175:S176" si="46">U175*0.2</f>
        <v>438984</v>
      </c>
      <c r="T175" s="1">
        <f t="shared" si="33"/>
        <v>395085.60000000009</v>
      </c>
      <c r="U175" s="1">
        <v>2194920</v>
      </c>
      <c r="V175" s="1">
        <f t="shared" si="29"/>
        <v>1726174.6800000002</v>
      </c>
      <c r="W175" s="1">
        <v>4.9000000000000004</v>
      </c>
    </row>
    <row r="176" spans="1:23" x14ac:dyDescent="0.25">
      <c r="A176" s="1" t="s">
        <v>200</v>
      </c>
      <c r="B176" s="1" t="s">
        <v>51</v>
      </c>
      <c r="C176" s="1" t="s">
        <v>408</v>
      </c>
      <c r="D176" s="1" t="s">
        <v>62</v>
      </c>
      <c r="E176" s="1" t="s">
        <v>43</v>
      </c>
      <c r="F176" s="1" t="s">
        <v>17</v>
      </c>
      <c r="G176" s="1" t="s">
        <v>72</v>
      </c>
      <c r="H176" s="1" t="s">
        <v>398</v>
      </c>
      <c r="I176" s="1" t="s">
        <v>19</v>
      </c>
      <c r="J176" s="1" t="s">
        <v>26</v>
      </c>
      <c r="K176" s="1">
        <v>10</v>
      </c>
      <c r="L176" s="1">
        <v>8998</v>
      </c>
      <c r="M176" s="2">
        <f t="shared" si="30"/>
        <v>89980</v>
      </c>
      <c r="N176" s="1">
        <v>15386.58</v>
      </c>
      <c r="O176" s="1">
        <f t="shared" si="31"/>
        <v>105366.58</v>
      </c>
      <c r="P176" s="1">
        <v>5924</v>
      </c>
      <c r="Q176" s="1">
        <f t="shared" si="32"/>
        <v>99442.58</v>
      </c>
      <c r="R176" s="1">
        <f t="shared" si="45"/>
        <v>37361.199999999997</v>
      </c>
      <c r="S176" s="1">
        <f t="shared" si="46"/>
        <v>12052</v>
      </c>
      <c r="T176" s="1">
        <f t="shared" si="33"/>
        <v>10846.800000000003</v>
      </c>
      <c r="U176" s="1">
        <v>60260</v>
      </c>
      <c r="V176" s="1">
        <f t="shared" si="29"/>
        <v>39182.58</v>
      </c>
      <c r="W176" s="1">
        <v>4.3</v>
      </c>
    </row>
    <row r="177" spans="1:23" x14ac:dyDescent="0.25">
      <c r="A177" s="1" t="s">
        <v>201</v>
      </c>
      <c r="B177" s="1" t="s">
        <v>32</v>
      </c>
      <c r="C177" s="1" t="s">
        <v>408</v>
      </c>
      <c r="D177" s="1" t="s">
        <v>55</v>
      </c>
      <c r="E177" s="1" t="s">
        <v>56</v>
      </c>
      <c r="F177" s="1" t="s">
        <v>24</v>
      </c>
      <c r="G177" s="1" t="s">
        <v>44</v>
      </c>
      <c r="H177" s="1" t="s">
        <v>399</v>
      </c>
      <c r="I177" s="1" t="s">
        <v>19</v>
      </c>
      <c r="J177" s="1" t="s">
        <v>46</v>
      </c>
      <c r="K177" s="1">
        <v>55</v>
      </c>
      <c r="L177" s="1">
        <v>23924</v>
      </c>
      <c r="M177" s="2">
        <f t="shared" si="30"/>
        <v>1315820</v>
      </c>
      <c r="N177" s="1">
        <v>201320.46</v>
      </c>
      <c r="O177" s="1">
        <f t="shared" si="31"/>
        <v>1517140.46</v>
      </c>
      <c r="P177" s="1">
        <v>6931</v>
      </c>
      <c r="Q177" s="1">
        <f t="shared" si="32"/>
        <v>1510209.46</v>
      </c>
      <c r="R177" s="1">
        <v>436425</v>
      </c>
      <c r="S177" s="1">
        <f t="shared" si="34"/>
        <v>174570</v>
      </c>
      <c r="T177" s="1">
        <f t="shared" si="33"/>
        <v>261855</v>
      </c>
      <c r="U177" s="1">
        <v>872850</v>
      </c>
      <c r="V177" s="1">
        <f t="shared" si="29"/>
        <v>637359.46</v>
      </c>
      <c r="W177" s="1">
        <v>4.8</v>
      </c>
    </row>
    <row r="178" spans="1:23" x14ac:dyDescent="0.25">
      <c r="A178" s="1" t="s">
        <v>202</v>
      </c>
      <c r="B178" s="1" t="s">
        <v>51</v>
      </c>
      <c r="C178" s="1" t="s">
        <v>408</v>
      </c>
      <c r="D178" s="1" t="s">
        <v>74</v>
      </c>
      <c r="E178" s="1" t="s">
        <v>56</v>
      </c>
      <c r="F178" s="1" t="s">
        <v>24</v>
      </c>
      <c r="G178" s="1" t="s">
        <v>63</v>
      </c>
      <c r="H178" s="1" t="s">
        <v>399</v>
      </c>
      <c r="I178" s="1" t="s">
        <v>397</v>
      </c>
      <c r="J178" s="1" t="s">
        <v>26</v>
      </c>
      <c r="K178" s="1">
        <v>113</v>
      </c>
      <c r="L178" s="1">
        <v>935</v>
      </c>
      <c r="M178" s="2">
        <f t="shared" si="30"/>
        <v>105655</v>
      </c>
      <c r="N178" s="1">
        <v>19017.900000000001</v>
      </c>
      <c r="O178" s="1">
        <f t="shared" si="31"/>
        <v>124672.9</v>
      </c>
      <c r="P178" s="1">
        <v>9634</v>
      </c>
      <c r="Q178" s="1">
        <f t="shared" si="32"/>
        <v>115038.9</v>
      </c>
      <c r="R178" s="1">
        <v>55257</v>
      </c>
      <c r="S178" s="1">
        <f t="shared" si="34"/>
        <v>14735.2</v>
      </c>
      <c r="T178" s="1">
        <f t="shared" si="33"/>
        <v>3683.8000000000029</v>
      </c>
      <c r="U178" s="1">
        <v>73676</v>
      </c>
      <c r="V178" s="1">
        <f t="shared" si="29"/>
        <v>41362.899999999994</v>
      </c>
      <c r="W178" s="1">
        <v>4</v>
      </c>
    </row>
    <row r="179" spans="1:23" x14ac:dyDescent="0.25">
      <c r="A179" s="1" t="s">
        <v>203</v>
      </c>
      <c r="B179" s="1" t="s">
        <v>69</v>
      </c>
      <c r="C179" s="1" t="s">
        <v>408</v>
      </c>
      <c r="D179" s="1" t="s">
        <v>52</v>
      </c>
      <c r="E179" s="1" t="s">
        <v>23</v>
      </c>
      <c r="F179" s="1" t="s">
        <v>59</v>
      </c>
      <c r="G179" s="1" t="s">
        <v>121</v>
      </c>
      <c r="H179" s="1" t="s">
        <v>399</v>
      </c>
      <c r="I179" s="1" t="s">
        <v>395</v>
      </c>
      <c r="J179" s="1" t="s">
        <v>46</v>
      </c>
      <c r="K179" s="1">
        <v>177</v>
      </c>
      <c r="L179" s="1">
        <v>3978</v>
      </c>
      <c r="M179" s="2">
        <f t="shared" si="30"/>
        <v>704106</v>
      </c>
      <c r="N179" s="1">
        <v>126739.08</v>
      </c>
      <c r="O179" s="1">
        <f t="shared" si="31"/>
        <v>830845.08</v>
      </c>
      <c r="P179" s="1">
        <v>8927</v>
      </c>
      <c r="Q179" s="1">
        <f t="shared" si="32"/>
        <v>821918.08</v>
      </c>
      <c r="R179" s="1">
        <f>0.7*U179</f>
        <v>371947.8</v>
      </c>
      <c r="S179" s="1">
        <f t="shared" si="34"/>
        <v>106270.8</v>
      </c>
      <c r="T179" s="1">
        <f t="shared" si="33"/>
        <v>53135.400000000023</v>
      </c>
      <c r="U179" s="1">
        <v>531354</v>
      </c>
      <c r="V179" s="1">
        <f t="shared" si="29"/>
        <v>290564.07999999996</v>
      </c>
      <c r="W179" s="1">
        <v>4.7</v>
      </c>
    </row>
    <row r="180" spans="1:23" x14ac:dyDescent="0.25">
      <c r="A180" s="1" t="s">
        <v>84</v>
      </c>
      <c r="B180" s="1" t="s">
        <v>77</v>
      </c>
      <c r="C180" s="1" t="s">
        <v>408</v>
      </c>
      <c r="D180" s="1" t="s">
        <v>15</v>
      </c>
      <c r="E180" s="1" t="s">
        <v>16</v>
      </c>
      <c r="F180" s="1" t="s">
        <v>29</v>
      </c>
      <c r="G180" s="1" t="s">
        <v>53</v>
      </c>
      <c r="H180" s="1" t="s">
        <v>399</v>
      </c>
      <c r="I180" s="1" t="s">
        <v>39</v>
      </c>
      <c r="J180" s="1" t="s">
        <v>46</v>
      </c>
      <c r="K180" s="1">
        <v>109</v>
      </c>
      <c r="L180" s="1">
        <v>6052</v>
      </c>
      <c r="M180" s="2">
        <f t="shared" si="30"/>
        <v>659668</v>
      </c>
      <c r="N180" s="1">
        <v>109241.02</v>
      </c>
      <c r="O180" s="1">
        <f t="shared" si="31"/>
        <v>768909.02</v>
      </c>
      <c r="P180" s="1">
        <v>6248</v>
      </c>
      <c r="Q180" s="1">
        <f t="shared" si="32"/>
        <v>762661.02</v>
      </c>
      <c r="R180" s="1">
        <v>391582.5</v>
      </c>
      <c r="S180" s="1">
        <f t="shared" ref="S180:S183" si="47">U180*0.1</f>
        <v>52211</v>
      </c>
      <c r="T180" s="1">
        <f t="shared" si="33"/>
        <v>78316.5</v>
      </c>
      <c r="U180" s="1">
        <v>522110</v>
      </c>
      <c r="V180" s="1">
        <f t="shared" si="29"/>
        <v>240551.02000000002</v>
      </c>
      <c r="W180" s="1">
        <v>4.2</v>
      </c>
    </row>
    <row r="181" spans="1:23" x14ac:dyDescent="0.25">
      <c r="A181" s="1" t="s">
        <v>117</v>
      </c>
      <c r="B181" s="1" t="s">
        <v>41</v>
      </c>
      <c r="C181" s="1" t="s">
        <v>408</v>
      </c>
      <c r="D181" s="1" t="s">
        <v>52</v>
      </c>
      <c r="E181" s="1" t="s">
        <v>23</v>
      </c>
      <c r="F181" s="1" t="s">
        <v>29</v>
      </c>
      <c r="G181" s="1" t="s">
        <v>87</v>
      </c>
      <c r="H181" s="1" t="s">
        <v>398</v>
      </c>
      <c r="I181" s="1" t="s">
        <v>397</v>
      </c>
      <c r="J181" s="1" t="s">
        <v>26</v>
      </c>
      <c r="K181" s="1">
        <v>74</v>
      </c>
      <c r="L181" s="1">
        <v>32689</v>
      </c>
      <c r="M181" s="2">
        <f t="shared" si="30"/>
        <v>2418986</v>
      </c>
      <c r="N181" s="1">
        <v>413646.61</v>
      </c>
      <c r="O181" s="1">
        <f t="shared" si="31"/>
        <v>2832632.61</v>
      </c>
      <c r="P181" s="1">
        <v>5819</v>
      </c>
      <c r="Q181" s="1">
        <f t="shared" si="32"/>
        <v>2826813.61</v>
      </c>
      <c r="R181" s="1">
        <v>436914.5</v>
      </c>
      <c r="S181" s="1">
        <f t="shared" si="47"/>
        <v>174765.80000000002</v>
      </c>
      <c r="T181" s="1">
        <f t="shared" si="33"/>
        <v>1135977.7</v>
      </c>
      <c r="U181" s="1">
        <v>1747658</v>
      </c>
      <c r="V181" s="1">
        <f t="shared" si="29"/>
        <v>1079155.6099999999</v>
      </c>
      <c r="W181" s="1">
        <v>4</v>
      </c>
    </row>
    <row r="182" spans="1:23" x14ac:dyDescent="0.25">
      <c r="A182" s="1" t="s">
        <v>127</v>
      </c>
      <c r="B182" s="1" t="s">
        <v>109</v>
      </c>
      <c r="C182" s="1" t="s">
        <v>408</v>
      </c>
      <c r="D182" s="1" t="s">
        <v>62</v>
      </c>
      <c r="E182" s="1" t="s">
        <v>43</v>
      </c>
      <c r="F182" s="1" t="s">
        <v>29</v>
      </c>
      <c r="G182" s="1" t="s">
        <v>87</v>
      </c>
      <c r="H182" s="1" t="s">
        <v>399</v>
      </c>
      <c r="I182" s="1" t="s">
        <v>395</v>
      </c>
      <c r="J182" s="1" t="s">
        <v>26</v>
      </c>
      <c r="K182" s="1">
        <v>85</v>
      </c>
      <c r="L182" s="1">
        <v>1351</v>
      </c>
      <c r="M182" s="2">
        <f t="shared" si="30"/>
        <v>114835</v>
      </c>
      <c r="N182" s="1">
        <v>17569.759999999998</v>
      </c>
      <c r="O182" s="1">
        <f t="shared" si="31"/>
        <v>132404.76</v>
      </c>
      <c r="P182" s="1">
        <v>8074</v>
      </c>
      <c r="Q182" s="1">
        <f t="shared" si="32"/>
        <v>124330.76000000001</v>
      </c>
      <c r="R182" s="1">
        <v>37612.5</v>
      </c>
      <c r="S182" s="1">
        <f t="shared" si="47"/>
        <v>7522.5</v>
      </c>
      <c r="T182" s="1">
        <f t="shared" si="33"/>
        <v>30090</v>
      </c>
      <c r="U182" s="1">
        <v>75225</v>
      </c>
      <c r="V182" s="1">
        <f t="shared" si="29"/>
        <v>49105.760000000009</v>
      </c>
      <c r="W182" s="1">
        <v>4.5</v>
      </c>
    </row>
    <row r="183" spans="1:23" x14ac:dyDescent="0.25">
      <c r="A183" s="1" t="s">
        <v>64</v>
      </c>
      <c r="B183" s="1" t="s">
        <v>28</v>
      </c>
      <c r="C183" s="1" t="s">
        <v>408</v>
      </c>
      <c r="D183" s="1" t="s">
        <v>74</v>
      </c>
      <c r="E183" s="1" t="s">
        <v>56</v>
      </c>
      <c r="F183" s="1" t="s">
        <v>29</v>
      </c>
      <c r="G183" s="1" t="s">
        <v>97</v>
      </c>
      <c r="H183" s="1" t="s">
        <v>399</v>
      </c>
      <c r="I183" s="1" t="s">
        <v>39</v>
      </c>
      <c r="J183" s="1" t="s">
        <v>46</v>
      </c>
      <c r="K183" s="1">
        <v>144</v>
      </c>
      <c r="L183" s="1">
        <v>9130</v>
      </c>
      <c r="M183" s="2">
        <f t="shared" si="30"/>
        <v>1314720</v>
      </c>
      <c r="N183" s="1">
        <v>236649.60000000001</v>
      </c>
      <c r="O183" s="1">
        <f t="shared" si="31"/>
        <v>1551369.6</v>
      </c>
      <c r="P183" s="1">
        <v>8919</v>
      </c>
      <c r="Q183" s="1">
        <f t="shared" si="32"/>
        <v>1542450.6</v>
      </c>
      <c r="R183" s="1">
        <v>250668</v>
      </c>
      <c r="S183" s="1">
        <f t="shared" si="47"/>
        <v>100267.20000000001</v>
      </c>
      <c r="T183" s="1">
        <f t="shared" si="33"/>
        <v>651736.80000000005</v>
      </c>
      <c r="U183" s="1">
        <v>1002672</v>
      </c>
      <c r="V183" s="1">
        <f t="shared" si="29"/>
        <v>539778.60000000009</v>
      </c>
      <c r="W183" s="1">
        <v>3.7</v>
      </c>
    </row>
    <row r="184" spans="1:23" x14ac:dyDescent="0.25">
      <c r="A184" s="1" t="s">
        <v>204</v>
      </c>
      <c r="B184" s="1" t="s">
        <v>21</v>
      </c>
      <c r="C184" s="1" t="s">
        <v>408</v>
      </c>
      <c r="D184" s="1" t="s">
        <v>78</v>
      </c>
      <c r="E184" s="1" t="s">
        <v>49</v>
      </c>
      <c r="F184" s="1" t="s">
        <v>24</v>
      </c>
      <c r="G184" s="1" t="s">
        <v>63</v>
      </c>
      <c r="H184" s="1" t="s">
        <v>399</v>
      </c>
      <c r="I184" s="1" t="s">
        <v>397</v>
      </c>
      <c r="J184" s="1" t="s">
        <v>46</v>
      </c>
      <c r="K184" s="1">
        <v>159</v>
      </c>
      <c r="L184" s="1">
        <v>4920</v>
      </c>
      <c r="M184" s="2">
        <f t="shared" si="30"/>
        <v>782280</v>
      </c>
      <c r="N184" s="1">
        <v>123913.15</v>
      </c>
      <c r="O184" s="1">
        <f t="shared" si="31"/>
        <v>906193.15</v>
      </c>
      <c r="P184" s="1">
        <v>5666</v>
      </c>
      <c r="Q184" s="1">
        <f t="shared" si="32"/>
        <v>900527.15</v>
      </c>
      <c r="R184" s="1">
        <v>150096</v>
      </c>
      <c r="S184" s="1">
        <f t="shared" si="34"/>
        <v>120076.8</v>
      </c>
      <c r="T184" s="1">
        <f t="shared" si="33"/>
        <v>330211.20000000001</v>
      </c>
      <c r="U184" s="1">
        <v>600384</v>
      </c>
      <c r="V184" s="1">
        <f t="shared" si="29"/>
        <v>300143.15000000002</v>
      </c>
      <c r="W184" s="1">
        <v>4.4000000000000004</v>
      </c>
    </row>
    <row r="185" spans="1:23" x14ac:dyDescent="0.25">
      <c r="A185" s="1" t="s">
        <v>115</v>
      </c>
      <c r="B185" s="1" t="s">
        <v>51</v>
      </c>
      <c r="C185" s="1" t="s">
        <v>408</v>
      </c>
      <c r="D185" s="1" t="s">
        <v>22</v>
      </c>
      <c r="E185" s="1" t="s">
        <v>23</v>
      </c>
      <c r="F185" s="1" t="s">
        <v>17</v>
      </c>
      <c r="G185" s="1" t="s">
        <v>35</v>
      </c>
      <c r="H185" s="1" t="s">
        <v>399</v>
      </c>
      <c r="I185" s="1" t="s">
        <v>395</v>
      </c>
      <c r="J185" s="1" t="s">
        <v>26</v>
      </c>
      <c r="K185" s="1">
        <v>100</v>
      </c>
      <c r="L185" s="1">
        <v>22359</v>
      </c>
      <c r="M185" s="2">
        <f t="shared" si="30"/>
        <v>2235900</v>
      </c>
      <c r="N185" s="1">
        <v>342092.7</v>
      </c>
      <c r="O185" s="1">
        <f t="shared" si="31"/>
        <v>2577992.7000000002</v>
      </c>
      <c r="P185" s="1">
        <v>8001</v>
      </c>
      <c r="Q185" s="1">
        <f t="shared" si="32"/>
        <v>2569991.7000000002</v>
      </c>
      <c r="R185" s="1">
        <f>0.62*U185</f>
        <v>924110</v>
      </c>
      <c r="S185" s="1">
        <f>U185*0.2</f>
        <v>298100</v>
      </c>
      <c r="T185" s="1">
        <f t="shared" si="33"/>
        <v>268290</v>
      </c>
      <c r="U185" s="1">
        <v>1490500</v>
      </c>
      <c r="V185" s="1">
        <f t="shared" si="29"/>
        <v>1079491.7000000002</v>
      </c>
      <c r="W185" s="1">
        <v>4.3</v>
      </c>
    </row>
    <row r="186" spans="1:23" x14ac:dyDescent="0.25">
      <c r="A186" s="1" t="s">
        <v>205</v>
      </c>
      <c r="B186" s="1" t="s">
        <v>21</v>
      </c>
      <c r="C186" s="1" t="s">
        <v>408</v>
      </c>
      <c r="D186" s="1" t="s">
        <v>42</v>
      </c>
      <c r="E186" s="1" t="s">
        <v>43</v>
      </c>
      <c r="F186" s="1" t="s">
        <v>59</v>
      </c>
      <c r="G186" s="1" t="s">
        <v>67</v>
      </c>
      <c r="H186" s="1" t="s">
        <v>399</v>
      </c>
      <c r="I186" s="1" t="s">
        <v>395</v>
      </c>
      <c r="J186" s="1" t="s">
        <v>26</v>
      </c>
      <c r="K186" s="1">
        <v>30</v>
      </c>
      <c r="L186" s="1">
        <v>28761</v>
      </c>
      <c r="M186" s="2">
        <f t="shared" si="30"/>
        <v>862830</v>
      </c>
      <c r="N186" s="1">
        <v>147543.93</v>
      </c>
      <c r="O186" s="1">
        <f t="shared" si="31"/>
        <v>1010373.9299999999</v>
      </c>
      <c r="P186" s="1">
        <v>6353</v>
      </c>
      <c r="Q186" s="1">
        <f t="shared" si="32"/>
        <v>1004020.9299999999</v>
      </c>
      <c r="R186" s="1">
        <f>0.7*U186</f>
        <v>420084</v>
      </c>
      <c r="S186" s="1">
        <f t="shared" si="34"/>
        <v>120024</v>
      </c>
      <c r="T186" s="1">
        <f t="shared" si="33"/>
        <v>60012</v>
      </c>
      <c r="U186" s="1">
        <v>600120</v>
      </c>
      <c r="V186" s="1">
        <f t="shared" si="29"/>
        <v>403900.92999999993</v>
      </c>
      <c r="W186" s="1">
        <v>4.0999999999999996</v>
      </c>
    </row>
    <row r="187" spans="1:23" x14ac:dyDescent="0.25">
      <c r="A187" s="1" t="s">
        <v>116</v>
      </c>
      <c r="B187" s="1" t="s">
        <v>109</v>
      </c>
      <c r="C187" s="1" t="s">
        <v>408</v>
      </c>
      <c r="D187" s="1" t="s">
        <v>42</v>
      </c>
      <c r="E187" s="1" t="s">
        <v>43</v>
      </c>
      <c r="F187" s="1" t="s">
        <v>29</v>
      </c>
      <c r="G187" s="1" t="s">
        <v>97</v>
      </c>
      <c r="H187" s="1" t="s">
        <v>399</v>
      </c>
      <c r="I187" s="1" t="s">
        <v>39</v>
      </c>
      <c r="J187" s="1" t="s">
        <v>26</v>
      </c>
      <c r="K187" s="1">
        <v>81</v>
      </c>
      <c r="L187" s="1">
        <v>11727</v>
      </c>
      <c r="M187" s="2">
        <f t="shared" si="30"/>
        <v>949887</v>
      </c>
      <c r="N187" s="1">
        <v>170979.66</v>
      </c>
      <c r="O187" s="1">
        <f t="shared" si="31"/>
        <v>1120866.6599999999</v>
      </c>
      <c r="P187" s="1">
        <v>9123</v>
      </c>
      <c r="Q187" s="1">
        <f t="shared" si="32"/>
        <v>1111743.6599999999</v>
      </c>
      <c r="R187" s="1">
        <v>378067.5</v>
      </c>
      <c r="S187" s="1">
        <f t="shared" ref="S187:S189" si="48">U187*0.1</f>
        <v>75613.5</v>
      </c>
      <c r="T187" s="1">
        <f t="shared" si="33"/>
        <v>302454</v>
      </c>
      <c r="U187" s="1">
        <v>756135</v>
      </c>
      <c r="V187" s="1">
        <f t="shared" si="29"/>
        <v>355608.65999999992</v>
      </c>
      <c r="W187" s="1">
        <v>5</v>
      </c>
    </row>
    <row r="188" spans="1:23" x14ac:dyDescent="0.25">
      <c r="A188" s="1" t="s">
        <v>206</v>
      </c>
      <c r="B188" s="1" t="s">
        <v>32</v>
      </c>
      <c r="C188" s="1" t="s">
        <v>408</v>
      </c>
      <c r="D188" s="1" t="s">
        <v>22</v>
      </c>
      <c r="E188" s="1" t="s">
        <v>23</v>
      </c>
      <c r="F188" s="1" t="s">
        <v>29</v>
      </c>
      <c r="G188" s="1" t="s">
        <v>87</v>
      </c>
      <c r="H188" s="1" t="s">
        <v>398</v>
      </c>
      <c r="I188" s="1" t="s">
        <v>39</v>
      </c>
      <c r="J188" s="1" t="s">
        <v>26</v>
      </c>
      <c r="K188" s="1">
        <v>190</v>
      </c>
      <c r="L188" s="1">
        <v>25921</v>
      </c>
      <c r="M188" s="2">
        <f t="shared" si="30"/>
        <v>4924990</v>
      </c>
      <c r="N188" s="1">
        <v>780118.42</v>
      </c>
      <c r="O188" s="1">
        <f t="shared" si="31"/>
        <v>5705108.4199999999</v>
      </c>
      <c r="P188" s="1">
        <v>6719</v>
      </c>
      <c r="Q188" s="1">
        <f t="shared" si="32"/>
        <v>5698389.4199999999</v>
      </c>
      <c r="R188" s="1">
        <v>2848860</v>
      </c>
      <c r="S188" s="1">
        <f t="shared" si="48"/>
        <v>379848</v>
      </c>
      <c r="T188" s="1">
        <f t="shared" si="33"/>
        <v>569772</v>
      </c>
      <c r="U188" s="1">
        <v>3798480</v>
      </c>
      <c r="V188" s="1">
        <f t="shared" si="29"/>
        <v>1899909.42</v>
      </c>
      <c r="W188" s="1">
        <v>4.9000000000000004</v>
      </c>
    </row>
    <row r="189" spans="1:23" x14ac:dyDescent="0.25">
      <c r="A189" s="1" t="s">
        <v>207</v>
      </c>
      <c r="B189" s="1" t="s">
        <v>51</v>
      </c>
      <c r="C189" s="1" t="s">
        <v>408</v>
      </c>
      <c r="D189" s="1" t="s">
        <v>78</v>
      </c>
      <c r="E189" s="1" t="s">
        <v>49</v>
      </c>
      <c r="F189" s="1" t="s">
        <v>29</v>
      </c>
      <c r="G189" s="1" t="s">
        <v>53</v>
      </c>
      <c r="H189" s="1" t="s">
        <v>399</v>
      </c>
      <c r="I189" s="1" t="s">
        <v>397</v>
      </c>
      <c r="J189" s="1" t="s">
        <v>26</v>
      </c>
      <c r="K189" s="1">
        <v>79</v>
      </c>
      <c r="L189" s="1">
        <v>30266</v>
      </c>
      <c r="M189" s="2">
        <f t="shared" si="30"/>
        <v>2391014</v>
      </c>
      <c r="N189" s="1">
        <v>378736.62</v>
      </c>
      <c r="O189" s="1">
        <f t="shared" si="31"/>
        <v>2769750.62</v>
      </c>
      <c r="P189" s="1">
        <v>6910</v>
      </c>
      <c r="Q189" s="1">
        <f t="shared" si="32"/>
        <v>2762840.62</v>
      </c>
      <c r="R189" s="1">
        <v>778940</v>
      </c>
      <c r="S189" s="1">
        <f t="shared" si="48"/>
        <v>155788</v>
      </c>
      <c r="T189" s="1">
        <f t="shared" si="33"/>
        <v>623152</v>
      </c>
      <c r="U189" s="1">
        <v>1557880</v>
      </c>
      <c r="V189" s="1">
        <f t="shared" si="29"/>
        <v>1204960.6200000001</v>
      </c>
      <c r="W189" s="1">
        <v>4.7</v>
      </c>
    </row>
    <row r="190" spans="1:23" x14ac:dyDescent="0.25">
      <c r="A190" s="1" t="s">
        <v>146</v>
      </c>
      <c r="B190" s="1" t="s">
        <v>41</v>
      </c>
      <c r="C190" s="1" t="s">
        <v>408</v>
      </c>
      <c r="D190" s="1" t="s">
        <v>74</v>
      </c>
      <c r="E190" s="1" t="s">
        <v>56</v>
      </c>
      <c r="F190" s="1" t="s">
        <v>24</v>
      </c>
      <c r="G190" s="1" t="s">
        <v>25</v>
      </c>
      <c r="H190" s="1" t="s">
        <v>399</v>
      </c>
      <c r="I190" s="1" t="s">
        <v>396</v>
      </c>
      <c r="J190" s="1" t="s">
        <v>46</v>
      </c>
      <c r="K190" s="1">
        <v>103</v>
      </c>
      <c r="L190" s="1">
        <v>28686</v>
      </c>
      <c r="M190" s="2">
        <f t="shared" si="30"/>
        <v>2954658</v>
      </c>
      <c r="N190" s="1">
        <v>489291.36</v>
      </c>
      <c r="O190" s="1">
        <f t="shared" si="31"/>
        <v>3443949.36</v>
      </c>
      <c r="P190" s="1">
        <v>8560</v>
      </c>
      <c r="Q190" s="1">
        <f t="shared" si="32"/>
        <v>3435389.36</v>
      </c>
      <c r="R190" s="1">
        <v>1168174.5</v>
      </c>
      <c r="S190" s="1">
        <f t="shared" si="34"/>
        <v>467269.80000000005</v>
      </c>
      <c r="T190" s="1">
        <f t="shared" si="33"/>
        <v>700904.7</v>
      </c>
      <c r="U190" s="1">
        <v>2336349</v>
      </c>
      <c r="V190" s="1">
        <f t="shared" si="29"/>
        <v>1099040.3599999999</v>
      </c>
      <c r="W190" s="1">
        <v>3.8</v>
      </c>
    </row>
    <row r="191" spans="1:23" x14ac:dyDescent="0.25">
      <c r="A191" s="1" t="s">
        <v>208</v>
      </c>
      <c r="B191" s="1" t="s">
        <v>77</v>
      </c>
      <c r="C191" s="1" t="s">
        <v>408</v>
      </c>
      <c r="D191" s="1" t="s">
        <v>15</v>
      </c>
      <c r="E191" s="1" t="s">
        <v>16</v>
      </c>
      <c r="F191" s="1" t="s">
        <v>59</v>
      </c>
      <c r="G191" s="1" t="s">
        <v>103</v>
      </c>
      <c r="H191" s="1" t="s">
        <v>398</v>
      </c>
      <c r="I191" s="1" t="s">
        <v>397</v>
      </c>
      <c r="J191" s="1" t="s">
        <v>26</v>
      </c>
      <c r="K191" s="1">
        <v>66</v>
      </c>
      <c r="L191" s="1">
        <v>15448</v>
      </c>
      <c r="M191" s="2">
        <f t="shared" si="30"/>
        <v>1019568</v>
      </c>
      <c r="N191" s="1">
        <v>183522.24</v>
      </c>
      <c r="O191" s="1">
        <f t="shared" si="31"/>
        <v>1203090.24</v>
      </c>
      <c r="P191" s="1">
        <v>9136</v>
      </c>
      <c r="Q191" s="1">
        <f t="shared" si="32"/>
        <v>1193954.24</v>
      </c>
      <c r="R191" s="1">
        <f>0.7*U191</f>
        <v>575143.79999999993</v>
      </c>
      <c r="S191" s="1">
        <f t="shared" si="34"/>
        <v>164326.80000000002</v>
      </c>
      <c r="T191" s="1">
        <f t="shared" si="33"/>
        <v>82163.400000000023</v>
      </c>
      <c r="U191" s="1">
        <v>821634</v>
      </c>
      <c r="V191" s="1">
        <f t="shared" si="29"/>
        <v>372320.24</v>
      </c>
      <c r="W191" s="1">
        <v>3.8</v>
      </c>
    </row>
    <row r="192" spans="1:23" x14ac:dyDescent="0.25">
      <c r="A192" s="1" t="s">
        <v>209</v>
      </c>
      <c r="B192" s="1" t="s">
        <v>21</v>
      </c>
      <c r="C192" s="1" t="s">
        <v>408</v>
      </c>
      <c r="D192" s="1" t="s">
        <v>22</v>
      </c>
      <c r="E192" s="1" t="s">
        <v>23</v>
      </c>
      <c r="F192" s="1" t="s">
        <v>17</v>
      </c>
      <c r="G192" s="1" t="s">
        <v>35</v>
      </c>
      <c r="H192" s="1" t="s">
        <v>398</v>
      </c>
      <c r="I192" s="1" t="s">
        <v>397</v>
      </c>
      <c r="J192" s="1" t="s">
        <v>26</v>
      </c>
      <c r="K192" s="1">
        <v>198</v>
      </c>
      <c r="L192" s="1">
        <v>15558</v>
      </c>
      <c r="M192" s="2">
        <f t="shared" si="30"/>
        <v>3080484</v>
      </c>
      <c r="N192" s="1">
        <v>554487.12</v>
      </c>
      <c r="O192" s="1">
        <f t="shared" si="31"/>
        <v>3634971.12</v>
      </c>
      <c r="P192" s="1">
        <v>6921</v>
      </c>
      <c r="Q192" s="1">
        <f t="shared" si="32"/>
        <v>3628050.12</v>
      </c>
      <c r="R192" s="1">
        <f t="shared" ref="R192:R193" si="49">0.62*U192</f>
        <v>1548617.4</v>
      </c>
      <c r="S192" s="1">
        <f t="shared" si="34"/>
        <v>499554</v>
      </c>
      <c r="T192" s="1">
        <f t="shared" si="33"/>
        <v>449598.60000000009</v>
      </c>
      <c r="U192" s="1">
        <v>2497770</v>
      </c>
      <c r="V192" s="1">
        <f t="shared" si="29"/>
        <v>1130280.1200000001</v>
      </c>
      <c r="W192" s="1">
        <v>4.9000000000000004</v>
      </c>
    </row>
    <row r="193" spans="1:23" x14ac:dyDescent="0.25">
      <c r="A193" s="1" t="s">
        <v>171</v>
      </c>
      <c r="B193" s="1" t="s">
        <v>14</v>
      </c>
      <c r="C193" s="1" t="s">
        <v>408</v>
      </c>
      <c r="D193" s="1" t="s">
        <v>48</v>
      </c>
      <c r="E193" s="1" t="s">
        <v>49</v>
      </c>
      <c r="F193" s="1" t="s">
        <v>17</v>
      </c>
      <c r="G193" s="1" t="s">
        <v>75</v>
      </c>
      <c r="H193" s="1" t="s">
        <v>398</v>
      </c>
      <c r="I193" s="1" t="s">
        <v>395</v>
      </c>
      <c r="J193" s="1" t="s">
        <v>46</v>
      </c>
      <c r="K193" s="1">
        <v>108</v>
      </c>
      <c r="L193" s="1">
        <v>35490</v>
      </c>
      <c r="M193" s="2">
        <f t="shared" si="30"/>
        <v>3832920</v>
      </c>
      <c r="N193" s="1">
        <v>586436.76</v>
      </c>
      <c r="O193" s="1">
        <f t="shared" si="31"/>
        <v>4419356.76</v>
      </c>
      <c r="P193" s="1">
        <v>5599</v>
      </c>
      <c r="Q193" s="1">
        <f t="shared" si="32"/>
        <v>4413757.76</v>
      </c>
      <c r="R193" s="1">
        <f t="shared" si="49"/>
        <v>1659670.56</v>
      </c>
      <c r="S193" s="1">
        <f t="shared" si="34"/>
        <v>535377.6</v>
      </c>
      <c r="T193" s="1">
        <f t="shared" si="33"/>
        <v>481839.83999999985</v>
      </c>
      <c r="U193" s="1">
        <v>2676888</v>
      </c>
      <c r="V193" s="1">
        <f t="shared" si="29"/>
        <v>1736869.7599999998</v>
      </c>
      <c r="W193" s="1">
        <v>4</v>
      </c>
    </row>
    <row r="194" spans="1:23" x14ac:dyDescent="0.25">
      <c r="A194" s="1" t="s">
        <v>88</v>
      </c>
      <c r="B194" s="1" t="s">
        <v>77</v>
      </c>
      <c r="C194" s="1" t="s">
        <v>408</v>
      </c>
      <c r="D194" s="1" t="s">
        <v>74</v>
      </c>
      <c r="E194" s="1" t="s">
        <v>56</v>
      </c>
      <c r="F194" s="1" t="s">
        <v>24</v>
      </c>
      <c r="G194" s="1" t="s">
        <v>119</v>
      </c>
      <c r="H194" s="1" t="s">
        <v>399</v>
      </c>
      <c r="I194" s="1" t="s">
        <v>39</v>
      </c>
      <c r="J194" s="1" t="s">
        <v>26</v>
      </c>
      <c r="K194" s="1">
        <v>33</v>
      </c>
      <c r="L194" s="1">
        <v>13959</v>
      </c>
      <c r="M194" s="2">
        <f t="shared" si="30"/>
        <v>460647</v>
      </c>
      <c r="N194" s="1">
        <v>70478.990000000005</v>
      </c>
      <c r="O194" s="1">
        <f t="shared" si="31"/>
        <v>531125.99</v>
      </c>
      <c r="P194" s="1">
        <v>7878</v>
      </c>
      <c r="Q194" s="1">
        <f t="shared" si="32"/>
        <v>523247.99</v>
      </c>
      <c r="R194" s="1">
        <v>266805</v>
      </c>
      <c r="S194" s="1">
        <f t="shared" si="34"/>
        <v>71148</v>
      </c>
      <c r="T194" s="1">
        <f t="shared" si="33"/>
        <v>17787</v>
      </c>
      <c r="U194" s="1">
        <v>355740</v>
      </c>
      <c r="V194" s="1">
        <f t="shared" si="29"/>
        <v>167507.99</v>
      </c>
      <c r="W194" s="1">
        <v>3.6</v>
      </c>
    </row>
    <row r="195" spans="1:23" x14ac:dyDescent="0.25">
      <c r="A195" s="1" t="s">
        <v>210</v>
      </c>
      <c r="B195" s="1" t="s">
        <v>69</v>
      </c>
      <c r="C195" s="1" t="s">
        <v>408</v>
      </c>
      <c r="D195" s="1" t="s">
        <v>74</v>
      </c>
      <c r="E195" s="1" t="s">
        <v>56</v>
      </c>
      <c r="F195" s="1" t="s">
        <v>24</v>
      </c>
      <c r="G195" s="1" t="s">
        <v>143</v>
      </c>
      <c r="H195" s="1" t="s">
        <v>399</v>
      </c>
      <c r="I195" s="1" t="s">
        <v>395</v>
      </c>
      <c r="J195" s="1" t="s">
        <v>46</v>
      </c>
      <c r="K195" s="1">
        <v>48</v>
      </c>
      <c r="L195" s="1">
        <v>21351</v>
      </c>
      <c r="M195" s="2">
        <f t="shared" si="30"/>
        <v>1024848</v>
      </c>
      <c r="N195" s="1">
        <v>175249.01</v>
      </c>
      <c r="O195" s="1">
        <f t="shared" si="31"/>
        <v>1200097.01</v>
      </c>
      <c r="P195" s="1">
        <v>5686</v>
      </c>
      <c r="Q195" s="1">
        <f t="shared" si="32"/>
        <v>1194411.01</v>
      </c>
      <c r="R195" s="1">
        <v>164628</v>
      </c>
      <c r="S195" s="1">
        <f t="shared" si="34"/>
        <v>131702.39999999999</v>
      </c>
      <c r="T195" s="1">
        <f t="shared" si="33"/>
        <v>362181.6</v>
      </c>
      <c r="U195" s="1">
        <v>658512</v>
      </c>
      <c r="V195" s="1">
        <f t="shared" si="29"/>
        <v>535899.01</v>
      </c>
      <c r="W195" s="1">
        <v>3.9</v>
      </c>
    </row>
    <row r="196" spans="1:23" x14ac:dyDescent="0.25">
      <c r="A196" s="1" t="s">
        <v>105</v>
      </c>
      <c r="B196" s="1" t="s">
        <v>28</v>
      </c>
      <c r="C196" s="1" t="s">
        <v>408</v>
      </c>
      <c r="D196" s="1" t="s">
        <v>48</v>
      </c>
      <c r="E196" s="1" t="s">
        <v>49</v>
      </c>
      <c r="F196" s="1" t="s">
        <v>59</v>
      </c>
      <c r="G196" s="1" t="s">
        <v>121</v>
      </c>
      <c r="H196" s="1" t="s">
        <v>399</v>
      </c>
      <c r="I196" s="1" t="s">
        <v>396</v>
      </c>
      <c r="J196" s="1" t="s">
        <v>26</v>
      </c>
      <c r="K196" s="1">
        <v>172</v>
      </c>
      <c r="L196" s="1">
        <v>19268</v>
      </c>
      <c r="M196" s="2">
        <f t="shared" si="30"/>
        <v>3314096</v>
      </c>
      <c r="N196" s="1">
        <v>507056.69</v>
      </c>
      <c r="O196" s="1">
        <f t="shared" si="31"/>
        <v>3821152.69</v>
      </c>
      <c r="P196" s="1">
        <v>6039</v>
      </c>
      <c r="Q196" s="1">
        <f t="shared" si="32"/>
        <v>3815113.69</v>
      </c>
      <c r="R196" s="1">
        <f>0.7*U196</f>
        <v>1693064.7999999998</v>
      </c>
      <c r="S196" s="1">
        <f t="shared" si="34"/>
        <v>483732.80000000005</v>
      </c>
      <c r="T196" s="1">
        <f t="shared" si="33"/>
        <v>241866.40000000014</v>
      </c>
      <c r="U196" s="1">
        <v>2418664</v>
      </c>
      <c r="V196" s="1">
        <f t="shared" ref="V196:V259" si="50">Q196-U196</f>
        <v>1396449.69</v>
      </c>
      <c r="W196" s="1">
        <v>4.7</v>
      </c>
    </row>
    <row r="197" spans="1:23" x14ac:dyDescent="0.25">
      <c r="A197" s="1" t="s">
        <v>211</v>
      </c>
      <c r="B197" s="1" t="s">
        <v>69</v>
      </c>
      <c r="C197" s="1" t="s">
        <v>408</v>
      </c>
      <c r="D197" s="1" t="s">
        <v>15</v>
      </c>
      <c r="E197" s="1" t="s">
        <v>16</v>
      </c>
      <c r="F197" s="1" t="s">
        <v>29</v>
      </c>
      <c r="G197" s="1" t="s">
        <v>53</v>
      </c>
      <c r="H197" s="1" t="s">
        <v>399</v>
      </c>
      <c r="I197" s="1" t="s">
        <v>39</v>
      </c>
      <c r="J197" s="1" t="s">
        <v>26</v>
      </c>
      <c r="K197" s="1">
        <v>63</v>
      </c>
      <c r="L197" s="1">
        <v>18329</v>
      </c>
      <c r="M197" s="2">
        <f t="shared" ref="M197:M260" si="51">K197*L197</f>
        <v>1154727</v>
      </c>
      <c r="N197" s="1">
        <v>207850.86</v>
      </c>
      <c r="O197" s="1">
        <f t="shared" ref="O197:O260" si="52">M197+N197</f>
        <v>1362577.8599999999</v>
      </c>
      <c r="P197" s="1">
        <v>9980</v>
      </c>
      <c r="Q197" s="1">
        <f t="shared" ref="Q197:Q260" si="53">O197-P197</f>
        <v>1352597.8599999999</v>
      </c>
      <c r="R197" s="1">
        <v>214830</v>
      </c>
      <c r="S197" s="1">
        <f>U197*0.1</f>
        <v>85932</v>
      </c>
      <c r="T197" s="1">
        <f t="shared" ref="T197:T260" si="54">U197-S197-R197</f>
        <v>558558</v>
      </c>
      <c r="U197" s="1">
        <v>859320</v>
      </c>
      <c r="V197" s="1">
        <f t="shared" si="50"/>
        <v>493277.85999999987</v>
      </c>
      <c r="W197" s="1">
        <v>3.8</v>
      </c>
    </row>
    <row r="198" spans="1:23" x14ac:dyDescent="0.25">
      <c r="A198" s="1" t="s">
        <v>212</v>
      </c>
      <c r="B198" s="1" t="s">
        <v>41</v>
      </c>
      <c r="C198" s="1" t="s">
        <v>408</v>
      </c>
      <c r="D198" s="1" t="s">
        <v>74</v>
      </c>
      <c r="E198" s="1" t="s">
        <v>56</v>
      </c>
      <c r="F198" s="1" t="s">
        <v>59</v>
      </c>
      <c r="G198" s="1" t="s">
        <v>67</v>
      </c>
      <c r="H198" s="1" t="s">
        <v>398</v>
      </c>
      <c r="I198" s="1" t="s">
        <v>19</v>
      </c>
      <c r="J198" s="1" t="s">
        <v>26</v>
      </c>
      <c r="K198" s="1">
        <v>85</v>
      </c>
      <c r="L198" s="1">
        <v>12649</v>
      </c>
      <c r="M198" s="2">
        <f t="shared" si="51"/>
        <v>1075165</v>
      </c>
      <c r="N198" s="1">
        <v>193529.7</v>
      </c>
      <c r="O198" s="1">
        <f t="shared" si="52"/>
        <v>1268694.7</v>
      </c>
      <c r="P198" s="1">
        <v>6333</v>
      </c>
      <c r="Q198" s="1">
        <f t="shared" si="53"/>
        <v>1262361.7</v>
      </c>
      <c r="R198" s="1">
        <f t="shared" ref="R198:R199" si="55">0.7*U198</f>
        <v>491231.99999999994</v>
      </c>
      <c r="S198" s="1">
        <f t="shared" ref="S198:S260" si="56">U198*0.2</f>
        <v>140352</v>
      </c>
      <c r="T198" s="1">
        <f t="shared" si="54"/>
        <v>70176.000000000058</v>
      </c>
      <c r="U198" s="1">
        <v>701760</v>
      </c>
      <c r="V198" s="1">
        <f t="shared" si="50"/>
        <v>560601.69999999995</v>
      </c>
      <c r="W198" s="1">
        <v>5</v>
      </c>
    </row>
    <row r="199" spans="1:23" x14ac:dyDescent="0.25">
      <c r="A199" s="1" t="s">
        <v>99</v>
      </c>
      <c r="B199" s="1" t="s">
        <v>32</v>
      </c>
      <c r="C199" s="1" t="s">
        <v>408</v>
      </c>
      <c r="D199" s="1" t="s">
        <v>52</v>
      </c>
      <c r="E199" s="1" t="s">
        <v>23</v>
      </c>
      <c r="F199" s="1" t="s">
        <v>59</v>
      </c>
      <c r="G199" s="1" t="s">
        <v>85</v>
      </c>
      <c r="H199" s="1" t="s">
        <v>398</v>
      </c>
      <c r="I199" s="1" t="s">
        <v>39</v>
      </c>
      <c r="J199" s="1" t="s">
        <v>46</v>
      </c>
      <c r="K199" s="1">
        <v>200</v>
      </c>
      <c r="L199" s="1">
        <v>27282</v>
      </c>
      <c r="M199" s="2">
        <f t="shared" si="51"/>
        <v>5456400</v>
      </c>
      <c r="N199" s="1">
        <v>903579.84</v>
      </c>
      <c r="O199" s="1">
        <f t="shared" si="52"/>
        <v>6359979.8399999999</v>
      </c>
      <c r="P199" s="1">
        <v>7690</v>
      </c>
      <c r="Q199" s="1">
        <f t="shared" si="53"/>
        <v>6352289.8399999999</v>
      </c>
      <c r="R199" s="1">
        <f t="shared" si="55"/>
        <v>2888620</v>
      </c>
      <c r="S199" s="1">
        <f t="shared" si="56"/>
        <v>825320</v>
      </c>
      <c r="T199" s="1">
        <f t="shared" si="54"/>
        <v>412660</v>
      </c>
      <c r="U199" s="1">
        <v>4126600</v>
      </c>
      <c r="V199" s="1">
        <f t="shared" si="50"/>
        <v>2225689.84</v>
      </c>
      <c r="W199" s="1">
        <v>3.6</v>
      </c>
    </row>
    <row r="200" spans="1:23" x14ac:dyDescent="0.25">
      <c r="A200" s="1" t="s">
        <v>213</v>
      </c>
      <c r="B200" s="1" t="s">
        <v>109</v>
      </c>
      <c r="C200" s="1" t="s">
        <v>408</v>
      </c>
      <c r="D200" s="1" t="s">
        <v>22</v>
      </c>
      <c r="E200" s="1" t="s">
        <v>23</v>
      </c>
      <c r="F200" s="1" t="s">
        <v>29</v>
      </c>
      <c r="G200" s="1" t="s">
        <v>91</v>
      </c>
      <c r="H200" s="1" t="s">
        <v>399</v>
      </c>
      <c r="I200" s="1" t="s">
        <v>397</v>
      </c>
      <c r="J200" s="1" t="s">
        <v>26</v>
      </c>
      <c r="K200" s="1">
        <v>57</v>
      </c>
      <c r="L200" s="1">
        <v>10680</v>
      </c>
      <c r="M200" s="2">
        <f t="shared" si="51"/>
        <v>608760</v>
      </c>
      <c r="N200" s="1">
        <v>109576.8</v>
      </c>
      <c r="O200" s="1">
        <f t="shared" si="52"/>
        <v>718336.8</v>
      </c>
      <c r="P200" s="1">
        <v>5626</v>
      </c>
      <c r="Q200" s="1">
        <f t="shared" si="53"/>
        <v>712710.8</v>
      </c>
      <c r="R200" s="1">
        <v>293008.5</v>
      </c>
      <c r="S200" s="1">
        <f>U200*0.1</f>
        <v>39067.800000000003</v>
      </c>
      <c r="T200" s="1">
        <f t="shared" si="54"/>
        <v>58601.700000000012</v>
      </c>
      <c r="U200" s="1">
        <v>390678</v>
      </c>
      <c r="V200" s="1">
        <f t="shared" si="50"/>
        <v>322032.80000000005</v>
      </c>
      <c r="W200" s="1">
        <v>4.0999999999999996</v>
      </c>
    </row>
    <row r="201" spans="1:23" x14ac:dyDescent="0.25">
      <c r="A201" s="1" t="s">
        <v>214</v>
      </c>
      <c r="B201" s="1" t="s">
        <v>41</v>
      </c>
      <c r="C201" s="1" t="s">
        <v>408</v>
      </c>
      <c r="D201" s="1" t="s">
        <v>15</v>
      </c>
      <c r="E201" s="1" t="s">
        <v>16</v>
      </c>
      <c r="F201" s="1" t="s">
        <v>17</v>
      </c>
      <c r="G201" s="1" t="s">
        <v>38</v>
      </c>
      <c r="H201" s="1" t="s">
        <v>398</v>
      </c>
      <c r="I201" s="1" t="s">
        <v>19</v>
      </c>
      <c r="J201" s="1" t="s">
        <v>46</v>
      </c>
      <c r="K201" s="1">
        <v>75</v>
      </c>
      <c r="L201" s="1">
        <v>15790</v>
      </c>
      <c r="M201" s="2">
        <f t="shared" si="51"/>
        <v>1184250</v>
      </c>
      <c r="N201" s="1">
        <v>202506.75</v>
      </c>
      <c r="O201" s="1">
        <f t="shared" si="52"/>
        <v>1386756.75</v>
      </c>
      <c r="P201" s="1">
        <v>5085</v>
      </c>
      <c r="Q201" s="1">
        <f t="shared" si="53"/>
        <v>1381671.75</v>
      </c>
      <c r="R201" s="1">
        <f t="shared" ref="R201:R202" si="57">0.62*U201</f>
        <v>475090.5</v>
      </c>
      <c r="S201" s="1">
        <f t="shared" ref="S201:S202" si="58">U201*0.2</f>
        <v>153255</v>
      </c>
      <c r="T201" s="1">
        <f t="shared" si="54"/>
        <v>137929.5</v>
      </c>
      <c r="U201" s="1">
        <v>766275</v>
      </c>
      <c r="V201" s="1">
        <f t="shared" si="50"/>
        <v>615396.75</v>
      </c>
      <c r="W201" s="1">
        <v>4.5</v>
      </c>
    </row>
    <row r="202" spans="1:23" x14ac:dyDescent="0.25">
      <c r="A202" s="1" t="s">
        <v>215</v>
      </c>
      <c r="B202" s="1" t="s">
        <v>51</v>
      </c>
      <c r="C202" s="1" t="s">
        <v>408</v>
      </c>
      <c r="D202" s="1" t="s">
        <v>22</v>
      </c>
      <c r="E202" s="1" t="s">
        <v>23</v>
      </c>
      <c r="F202" s="1" t="s">
        <v>17</v>
      </c>
      <c r="G202" s="1" t="s">
        <v>38</v>
      </c>
      <c r="H202" s="1" t="s">
        <v>398</v>
      </c>
      <c r="I202" s="1" t="s">
        <v>395</v>
      </c>
      <c r="J202" s="1" t="s">
        <v>46</v>
      </c>
      <c r="K202" s="1">
        <v>135</v>
      </c>
      <c r="L202" s="1">
        <v>36050</v>
      </c>
      <c r="M202" s="2">
        <f t="shared" si="51"/>
        <v>4866750</v>
      </c>
      <c r="N202" s="1">
        <v>805933.8</v>
      </c>
      <c r="O202" s="1">
        <f t="shared" si="52"/>
        <v>5672683.7999999998</v>
      </c>
      <c r="P202" s="1">
        <v>8669</v>
      </c>
      <c r="Q202" s="1">
        <f t="shared" si="53"/>
        <v>5664014.7999999998</v>
      </c>
      <c r="R202" s="1">
        <f t="shared" si="57"/>
        <v>1890364.5</v>
      </c>
      <c r="S202" s="1">
        <f t="shared" si="58"/>
        <v>609795</v>
      </c>
      <c r="T202" s="1">
        <f t="shared" si="54"/>
        <v>548815.5</v>
      </c>
      <c r="U202" s="1">
        <v>3048975</v>
      </c>
      <c r="V202" s="1">
        <f t="shared" si="50"/>
        <v>2615039.7999999998</v>
      </c>
      <c r="W202" s="1">
        <v>3.9</v>
      </c>
    </row>
    <row r="203" spans="1:23" x14ac:dyDescent="0.25">
      <c r="A203" s="1" t="s">
        <v>216</v>
      </c>
      <c r="B203" s="1" t="s">
        <v>51</v>
      </c>
      <c r="C203" s="1" t="s">
        <v>408</v>
      </c>
      <c r="D203" s="1" t="s">
        <v>78</v>
      </c>
      <c r="E203" s="1" t="s">
        <v>49</v>
      </c>
      <c r="F203" s="1" t="s">
        <v>29</v>
      </c>
      <c r="G203" s="1" t="s">
        <v>91</v>
      </c>
      <c r="H203" s="1" t="s">
        <v>398</v>
      </c>
      <c r="I203" s="1" t="s">
        <v>397</v>
      </c>
      <c r="J203" s="1" t="s">
        <v>26</v>
      </c>
      <c r="K203" s="1">
        <v>165</v>
      </c>
      <c r="L203" s="1">
        <v>11485</v>
      </c>
      <c r="M203" s="2">
        <f t="shared" si="51"/>
        <v>1895025</v>
      </c>
      <c r="N203" s="1">
        <v>313816.14</v>
      </c>
      <c r="O203" s="1">
        <f t="shared" si="52"/>
        <v>2208841.14</v>
      </c>
      <c r="P203" s="1">
        <v>7888</v>
      </c>
      <c r="Q203" s="1">
        <f t="shared" si="53"/>
        <v>2200953.14</v>
      </c>
      <c r="R203" s="1">
        <v>1174882.5</v>
      </c>
      <c r="S203" s="1">
        <f t="shared" ref="S203:S204" si="59">U203*0.1</f>
        <v>156651</v>
      </c>
      <c r="T203" s="1">
        <f t="shared" si="54"/>
        <v>234976.5</v>
      </c>
      <c r="U203" s="1">
        <v>1566510</v>
      </c>
      <c r="V203" s="1">
        <f t="shared" si="50"/>
        <v>634443.14000000013</v>
      </c>
      <c r="W203" s="1">
        <v>4.7</v>
      </c>
    </row>
    <row r="204" spans="1:23" x14ac:dyDescent="0.25">
      <c r="A204" s="1" t="s">
        <v>217</v>
      </c>
      <c r="B204" s="1" t="s">
        <v>34</v>
      </c>
      <c r="C204" s="1" t="s">
        <v>408</v>
      </c>
      <c r="D204" s="1" t="s">
        <v>74</v>
      </c>
      <c r="E204" s="1" t="s">
        <v>56</v>
      </c>
      <c r="F204" s="1" t="s">
        <v>29</v>
      </c>
      <c r="G204" s="1" t="s">
        <v>91</v>
      </c>
      <c r="H204" s="1" t="s">
        <v>399</v>
      </c>
      <c r="I204" s="1" t="s">
        <v>397</v>
      </c>
      <c r="J204" s="1" t="s">
        <v>26</v>
      </c>
      <c r="K204" s="1">
        <v>44</v>
      </c>
      <c r="L204" s="1">
        <v>19545</v>
      </c>
      <c r="M204" s="2">
        <f t="shared" si="51"/>
        <v>859980</v>
      </c>
      <c r="N204" s="1">
        <v>142412.69</v>
      </c>
      <c r="O204" s="1">
        <f t="shared" si="52"/>
        <v>1002392.69</v>
      </c>
      <c r="P204" s="1">
        <v>5612</v>
      </c>
      <c r="Q204" s="1">
        <f t="shared" si="53"/>
        <v>996780.69</v>
      </c>
      <c r="R204" s="1">
        <v>178431</v>
      </c>
      <c r="S204" s="1">
        <f t="shared" si="59"/>
        <v>71372.400000000009</v>
      </c>
      <c r="T204" s="1">
        <f t="shared" si="54"/>
        <v>463920.6</v>
      </c>
      <c r="U204" s="1">
        <v>713724</v>
      </c>
      <c r="V204" s="1">
        <f t="shared" si="50"/>
        <v>283056.68999999994</v>
      </c>
      <c r="W204" s="1">
        <v>3.6</v>
      </c>
    </row>
    <row r="205" spans="1:23" x14ac:dyDescent="0.25">
      <c r="A205" s="1" t="s">
        <v>179</v>
      </c>
      <c r="B205" s="1" t="s">
        <v>58</v>
      </c>
      <c r="C205" s="1" t="s">
        <v>408</v>
      </c>
      <c r="D205" s="1" t="s">
        <v>78</v>
      </c>
      <c r="E205" s="1" t="s">
        <v>49</v>
      </c>
      <c r="F205" s="1" t="s">
        <v>24</v>
      </c>
      <c r="G205" s="1" t="s">
        <v>25</v>
      </c>
      <c r="H205" s="1" t="s">
        <v>399</v>
      </c>
      <c r="I205" s="1" t="s">
        <v>19</v>
      </c>
      <c r="J205" s="1" t="s">
        <v>26</v>
      </c>
      <c r="K205" s="1">
        <v>60</v>
      </c>
      <c r="L205" s="1">
        <v>18358</v>
      </c>
      <c r="M205" s="2">
        <f t="shared" si="51"/>
        <v>1101480</v>
      </c>
      <c r="N205" s="1">
        <v>188353.08</v>
      </c>
      <c r="O205" s="1">
        <f t="shared" si="52"/>
        <v>1289833.08</v>
      </c>
      <c r="P205" s="1">
        <v>7679</v>
      </c>
      <c r="Q205" s="1">
        <f t="shared" si="53"/>
        <v>1282154.08</v>
      </c>
      <c r="R205" s="1">
        <v>584010</v>
      </c>
      <c r="S205" s="1">
        <f t="shared" si="56"/>
        <v>155736</v>
      </c>
      <c r="T205" s="1">
        <f t="shared" si="54"/>
        <v>38934</v>
      </c>
      <c r="U205" s="1">
        <v>778680</v>
      </c>
      <c r="V205" s="1">
        <f t="shared" si="50"/>
        <v>503474.08000000007</v>
      </c>
      <c r="W205" s="1">
        <v>4.4000000000000004</v>
      </c>
    </row>
    <row r="206" spans="1:23" x14ac:dyDescent="0.25">
      <c r="A206" s="1" t="s">
        <v>187</v>
      </c>
      <c r="B206" s="1" t="s">
        <v>28</v>
      </c>
      <c r="C206" s="1" t="s">
        <v>408</v>
      </c>
      <c r="D206" s="1" t="s">
        <v>78</v>
      </c>
      <c r="E206" s="1" t="s">
        <v>49</v>
      </c>
      <c r="F206" s="1" t="s">
        <v>24</v>
      </c>
      <c r="G206" s="1" t="s">
        <v>143</v>
      </c>
      <c r="H206" s="1" t="s">
        <v>399</v>
      </c>
      <c r="I206" s="1" t="s">
        <v>19</v>
      </c>
      <c r="J206" s="1" t="s">
        <v>46</v>
      </c>
      <c r="K206" s="1">
        <v>129</v>
      </c>
      <c r="L206" s="1">
        <v>26711</v>
      </c>
      <c r="M206" s="2">
        <f t="shared" si="51"/>
        <v>3445719</v>
      </c>
      <c r="N206" s="1">
        <v>589217.94999999995</v>
      </c>
      <c r="O206" s="1">
        <f t="shared" si="52"/>
        <v>4034936.95</v>
      </c>
      <c r="P206" s="1">
        <v>6478</v>
      </c>
      <c r="Q206" s="1">
        <f t="shared" si="53"/>
        <v>4028458.95</v>
      </c>
      <c r="R206" s="1">
        <v>587401.5</v>
      </c>
      <c r="S206" s="1">
        <f t="shared" si="56"/>
        <v>469921.2</v>
      </c>
      <c r="T206" s="1">
        <f t="shared" si="54"/>
        <v>1292283.3</v>
      </c>
      <c r="U206" s="1">
        <v>2349606</v>
      </c>
      <c r="V206" s="1">
        <f t="shared" si="50"/>
        <v>1678852.9500000002</v>
      </c>
      <c r="W206" s="1">
        <v>4.8</v>
      </c>
    </row>
    <row r="207" spans="1:23" x14ac:dyDescent="0.25">
      <c r="A207" s="1" t="s">
        <v>218</v>
      </c>
      <c r="B207" s="1" t="s">
        <v>41</v>
      </c>
      <c r="C207" s="1" t="s">
        <v>408</v>
      </c>
      <c r="D207" s="1" t="s">
        <v>42</v>
      </c>
      <c r="E207" s="1" t="s">
        <v>43</v>
      </c>
      <c r="F207" s="1" t="s">
        <v>24</v>
      </c>
      <c r="G207" s="1" t="s">
        <v>143</v>
      </c>
      <c r="H207" s="1" t="s">
        <v>398</v>
      </c>
      <c r="I207" s="1" t="s">
        <v>396</v>
      </c>
      <c r="J207" s="1" t="s">
        <v>26</v>
      </c>
      <c r="K207" s="1">
        <v>12</v>
      </c>
      <c r="L207" s="1">
        <v>7471</v>
      </c>
      <c r="M207" s="2">
        <f t="shared" si="51"/>
        <v>89652</v>
      </c>
      <c r="N207" s="1">
        <v>14200.88</v>
      </c>
      <c r="O207" s="1">
        <f t="shared" si="52"/>
        <v>103852.88</v>
      </c>
      <c r="P207" s="1">
        <v>7883</v>
      </c>
      <c r="Q207" s="1">
        <f t="shared" si="53"/>
        <v>95969.88</v>
      </c>
      <c r="R207" s="1">
        <v>15078</v>
      </c>
      <c r="S207" s="1">
        <f t="shared" si="56"/>
        <v>12062.400000000001</v>
      </c>
      <c r="T207" s="1">
        <f t="shared" si="54"/>
        <v>33171.599999999999</v>
      </c>
      <c r="U207" s="1">
        <v>60312</v>
      </c>
      <c r="V207" s="1">
        <f t="shared" si="50"/>
        <v>35657.880000000005</v>
      </c>
      <c r="W207" s="1">
        <v>4.2</v>
      </c>
    </row>
    <row r="208" spans="1:23" x14ac:dyDescent="0.25">
      <c r="A208" s="1" t="s">
        <v>219</v>
      </c>
      <c r="B208" s="1" t="s">
        <v>109</v>
      </c>
      <c r="C208" s="1" t="s">
        <v>408</v>
      </c>
      <c r="D208" s="1" t="s">
        <v>55</v>
      </c>
      <c r="E208" s="1" t="s">
        <v>56</v>
      </c>
      <c r="F208" s="1" t="s">
        <v>29</v>
      </c>
      <c r="G208" s="1" t="s">
        <v>87</v>
      </c>
      <c r="H208" s="1" t="s">
        <v>399</v>
      </c>
      <c r="I208" s="1" t="s">
        <v>397</v>
      </c>
      <c r="J208" s="1" t="s">
        <v>46</v>
      </c>
      <c r="K208" s="1">
        <v>118</v>
      </c>
      <c r="L208" s="1">
        <v>13758</v>
      </c>
      <c r="M208" s="2">
        <f t="shared" si="51"/>
        <v>1623444</v>
      </c>
      <c r="N208" s="1">
        <v>292219.92</v>
      </c>
      <c r="O208" s="1">
        <f t="shared" si="52"/>
        <v>1915663.92</v>
      </c>
      <c r="P208" s="1">
        <v>5976</v>
      </c>
      <c r="Q208" s="1">
        <f t="shared" si="53"/>
        <v>1909687.92</v>
      </c>
      <c r="R208" s="1">
        <v>609234</v>
      </c>
      <c r="S208" s="1">
        <f>U208*0.1</f>
        <v>121846.8</v>
      </c>
      <c r="T208" s="1">
        <f t="shared" si="54"/>
        <v>487387.19999999995</v>
      </c>
      <c r="U208" s="1">
        <v>1218468</v>
      </c>
      <c r="V208" s="1">
        <f t="shared" si="50"/>
        <v>691219.91999999993</v>
      </c>
      <c r="W208" s="1">
        <v>4.9000000000000004</v>
      </c>
    </row>
    <row r="209" spans="1:23" x14ac:dyDescent="0.25">
      <c r="A209" s="1" t="s">
        <v>220</v>
      </c>
      <c r="B209" s="1" t="s">
        <v>28</v>
      </c>
      <c r="C209" s="1" t="s">
        <v>408</v>
      </c>
      <c r="D209" s="1" t="s">
        <v>48</v>
      </c>
      <c r="E209" s="1" t="s">
        <v>49</v>
      </c>
      <c r="F209" s="1" t="s">
        <v>17</v>
      </c>
      <c r="G209" s="1" t="s">
        <v>38</v>
      </c>
      <c r="H209" s="1" t="s">
        <v>398</v>
      </c>
      <c r="I209" s="1" t="s">
        <v>39</v>
      </c>
      <c r="J209" s="1" t="s">
        <v>46</v>
      </c>
      <c r="K209" s="1">
        <v>59</v>
      </c>
      <c r="L209" s="1">
        <v>19614</v>
      </c>
      <c r="M209" s="2">
        <f t="shared" si="51"/>
        <v>1157226</v>
      </c>
      <c r="N209" s="1">
        <v>177055.58</v>
      </c>
      <c r="O209" s="1">
        <f t="shared" si="52"/>
        <v>1334281.58</v>
      </c>
      <c r="P209" s="1">
        <v>5666</v>
      </c>
      <c r="Q209" s="1">
        <f t="shared" si="53"/>
        <v>1328615.58</v>
      </c>
      <c r="R209" s="1">
        <f>0.62*U209</f>
        <v>570977.22</v>
      </c>
      <c r="S209" s="1">
        <f>U209*0.2</f>
        <v>184186.2</v>
      </c>
      <c r="T209" s="1">
        <f t="shared" si="54"/>
        <v>165767.58000000007</v>
      </c>
      <c r="U209" s="1">
        <v>920931</v>
      </c>
      <c r="V209" s="1">
        <f t="shared" si="50"/>
        <v>407684.58000000007</v>
      </c>
      <c r="W209" s="1">
        <v>4</v>
      </c>
    </row>
    <row r="210" spans="1:23" x14ac:dyDescent="0.25">
      <c r="A210" s="1" t="s">
        <v>221</v>
      </c>
      <c r="B210" s="1" t="s">
        <v>37</v>
      </c>
      <c r="C210" s="1" t="s">
        <v>408</v>
      </c>
      <c r="D210" s="1" t="s">
        <v>52</v>
      </c>
      <c r="E210" s="1" t="s">
        <v>23</v>
      </c>
      <c r="F210" s="1" t="s">
        <v>24</v>
      </c>
      <c r="G210" s="1" t="s">
        <v>44</v>
      </c>
      <c r="H210" s="1" t="s">
        <v>399</v>
      </c>
      <c r="I210" s="1" t="s">
        <v>397</v>
      </c>
      <c r="J210" s="1" t="s">
        <v>46</v>
      </c>
      <c r="K210" s="1">
        <v>40</v>
      </c>
      <c r="L210" s="1">
        <v>22448</v>
      </c>
      <c r="M210" s="2">
        <f t="shared" si="51"/>
        <v>897920</v>
      </c>
      <c r="N210" s="1">
        <v>142230.53</v>
      </c>
      <c r="O210" s="1">
        <f t="shared" si="52"/>
        <v>1040150.53</v>
      </c>
      <c r="P210" s="1">
        <v>6308</v>
      </c>
      <c r="Q210" s="1">
        <f t="shared" si="53"/>
        <v>1033842.53</v>
      </c>
      <c r="R210" s="1">
        <v>164980</v>
      </c>
      <c r="S210" s="1">
        <f t="shared" si="56"/>
        <v>131984</v>
      </c>
      <c r="T210" s="1">
        <f t="shared" si="54"/>
        <v>362956</v>
      </c>
      <c r="U210" s="1">
        <v>659920</v>
      </c>
      <c r="V210" s="1">
        <f t="shared" si="50"/>
        <v>373922.53</v>
      </c>
      <c r="W210" s="1">
        <v>3.7</v>
      </c>
    </row>
    <row r="211" spans="1:23" x14ac:dyDescent="0.25">
      <c r="A211" s="1" t="s">
        <v>36</v>
      </c>
      <c r="B211" s="1" t="s">
        <v>14</v>
      </c>
      <c r="C211" s="1" t="s">
        <v>408</v>
      </c>
      <c r="D211" s="1" t="s">
        <v>48</v>
      </c>
      <c r="E211" s="1" t="s">
        <v>49</v>
      </c>
      <c r="F211" s="1" t="s">
        <v>17</v>
      </c>
      <c r="G211" s="1" t="s">
        <v>38</v>
      </c>
      <c r="H211" s="1" t="s">
        <v>399</v>
      </c>
      <c r="I211" s="1" t="s">
        <v>39</v>
      </c>
      <c r="J211" s="1" t="s">
        <v>46</v>
      </c>
      <c r="K211" s="1">
        <v>120</v>
      </c>
      <c r="L211" s="1">
        <v>32406</v>
      </c>
      <c r="M211" s="2">
        <f t="shared" si="51"/>
        <v>3888720</v>
      </c>
      <c r="N211" s="1">
        <v>664971.12</v>
      </c>
      <c r="O211" s="1">
        <f t="shared" si="52"/>
        <v>4553691.12</v>
      </c>
      <c r="P211" s="1">
        <v>7725</v>
      </c>
      <c r="Q211" s="1">
        <f t="shared" si="53"/>
        <v>4545966.12</v>
      </c>
      <c r="R211" s="1">
        <f>0.62*U211</f>
        <v>1508683.2</v>
      </c>
      <c r="S211" s="1">
        <f>U211*0.2</f>
        <v>486672</v>
      </c>
      <c r="T211" s="1">
        <f t="shared" si="54"/>
        <v>438004.80000000005</v>
      </c>
      <c r="U211" s="1">
        <v>2433360</v>
      </c>
      <c r="V211" s="1">
        <f t="shared" si="50"/>
        <v>2112606.12</v>
      </c>
      <c r="W211" s="1">
        <v>4.9000000000000004</v>
      </c>
    </row>
    <row r="212" spans="1:23" x14ac:dyDescent="0.25">
      <c r="A212" s="1" t="s">
        <v>222</v>
      </c>
      <c r="B212" s="1" t="s">
        <v>41</v>
      </c>
      <c r="C212" s="1" t="s">
        <v>408</v>
      </c>
      <c r="D212" s="1" t="s">
        <v>42</v>
      </c>
      <c r="E212" s="1" t="s">
        <v>43</v>
      </c>
      <c r="F212" s="1" t="s">
        <v>24</v>
      </c>
      <c r="G212" s="1" t="s">
        <v>25</v>
      </c>
      <c r="H212" s="1" t="s">
        <v>399</v>
      </c>
      <c r="I212" s="1" t="s">
        <v>396</v>
      </c>
      <c r="J212" s="1" t="s">
        <v>26</v>
      </c>
      <c r="K212" s="1">
        <v>170</v>
      </c>
      <c r="L212" s="1">
        <v>19951</v>
      </c>
      <c r="M212" s="2">
        <f t="shared" si="51"/>
        <v>3391670</v>
      </c>
      <c r="N212" s="1">
        <v>518925.51</v>
      </c>
      <c r="O212" s="1">
        <f t="shared" si="52"/>
        <v>3910595.51</v>
      </c>
      <c r="P212" s="1">
        <v>8044</v>
      </c>
      <c r="Q212" s="1">
        <f t="shared" si="53"/>
        <v>3902551.51</v>
      </c>
      <c r="R212" s="1">
        <v>1796220</v>
      </c>
      <c r="S212" s="1">
        <f t="shared" si="56"/>
        <v>478992</v>
      </c>
      <c r="T212" s="1">
        <f t="shared" si="54"/>
        <v>119748</v>
      </c>
      <c r="U212" s="1">
        <v>2394960</v>
      </c>
      <c r="V212" s="1">
        <f t="shared" si="50"/>
        <v>1507591.5099999998</v>
      </c>
      <c r="W212" s="1">
        <v>3.6</v>
      </c>
    </row>
    <row r="213" spans="1:23" x14ac:dyDescent="0.25">
      <c r="A213" s="1" t="s">
        <v>211</v>
      </c>
      <c r="B213" s="1" t="s">
        <v>58</v>
      </c>
      <c r="C213" s="1" t="s">
        <v>408</v>
      </c>
      <c r="D213" s="1" t="s">
        <v>74</v>
      </c>
      <c r="E213" s="1" t="s">
        <v>56</v>
      </c>
      <c r="F213" s="1" t="s">
        <v>29</v>
      </c>
      <c r="G213" s="1" t="s">
        <v>53</v>
      </c>
      <c r="H213" s="1" t="s">
        <v>398</v>
      </c>
      <c r="I213" s="1" t="s">
        <v>395</v>
      </c>
      <c r="J213" s="1" t="s">
        <v>26</v>
      </c>
      <c r="K213" s="1">
        <v>76</v>
      </c>
      <c r="L213" s="1">
        <v>24820</v>
      </c>
      <c r="M213" s="2">
        <f t="shared" si="51"/>
        <v>1886320</v>
      </c>
      <c r="N213" s="1">
        <v>288606.96000000002</v>
      </c>
      <c r="O213" s="1">
        <f t="shared" si="52"/>
        <v>2174926.96</v>
      </c>
      <c r="P213" s="1">
        <v>9780</v>
      </c>
      <c r="Q213" s="1">
        <f t="shared" si="53"/>
        <v>2165146.96</v>
      </c>
      <c r="R213" s="1">
        <v>1089783</v>
      </c>
      <c r="S213" s="1">
        <f>U213*0.1</f>
        <v>145304.4</v>
      </c>
      <c r="T213" s="1">
        <f t="shared" si="54"/>
        <v>217956.60000000009</v>
      </c>
      <c r="U213" s="1">
        <v>1453044</v>
      </c>
      <c r="V213" s="1">
        <f t="shared" si="50"/>
        <v>712102.96</v>
      </c>
      <c r="W213" s="1">
        <v>4.9000000000000004</v>
      </c>
    </row>
    <row r="214" spans="1:23" x14ac:dyDescent="0.25">
      <c r="A214" s="1" t="s">
        <v>223</v>
      </c>
      <c r="B214" s="1" t="s">
        <v>37</v>
      </c>
      <c r="C214" s="1" t="s">
        <v>408</v>
      </c>
      <c r="D214" s="1" t="s">
        <v>15</v>
      </c>
      <c r="E214" s="1" t="s">
        <v>16</v>
      </c>
      <c r="F214" s="1" t="s">
        <v>17</v>
      </c>
      <c r="G214" s="1" t="s">
        <v>72</v>
      </c>
      <c r="H214" s="1" t="s">
        <v>398</v>
      </c>
      <c r="I214" s="1" t="s">
        <v>397</v>
      </c>
      <c r="J214" s="1" t="s">
        <v>46</v>
      </c>
      <c r="K214" s="1">
        <v>195</v>
      </c>
      <c r="L214" s="1">
        <v>19208</v>
      </c>
      <c r="M214" s="2">
        <f t="shared" si="51"/>
        <v>3745560</v>
      </c>
      <c r="N214" s="1">
        <v>593296.69999999995</v>
      </c>
      <c r="O214" s="1">
        <f t="shared" si="52"/>
        <v>4338856.7</v>
      </c>
      <c r="P214" s="1">
        <v>6229</v>
      </c>
      <c r="Q214" s="1">
        <f t="shared" si="53"/>
        <v>4332627.7</v>
      </c>
      <c r="R214" s="1">
        <f>0.62*U214</f>
        <v>1810477.5</v>
      </c>
      <c r="S214" s="1">
        <f>U214*0.2</f>
        <v>584025</v>
      </c>
      <c r="T214" s="1">
        <f t="shared" si="54"/>
        <v>525622.5</v>
      </c>
      <c r="U214" s="1">
        <v>2920125</v>
      </c>
      <c r="V214" s="1">
        <f t="shared" si="50"/>
        <v>1412502.7000000002</v>
      </c>
      <c r="W214" s="1">
        <v>3.6</v>
      </c>
    </row>
    <row r="215" spans="1:23" x14ac:dyDescent="0.25">
      <c r="A215" s="1" t="s">
        <v>117</v>
      </c>
      <c r="B215" s="1" t="s">
        <v>14</v>
      </c>
      <c r="C215" s="1" t="s">
        <v>408</v>
      </c>
      <c r="D215" s="1" t="s">
        <v>74</v>
      </c>
      <c r="E215" s="1" t="s">
        <v>56</v>
      </c>
      <c r="F215" s="1" t="s">
        <v>24</v>
      </c>
      <c r="G215" s="1" t="s">
        <v>63</v>
      </c>
      <c r="H215" s="1" t="s">
        <v>399</v>
      </c>
      <c r="I215" s="1" t="s">
        <v>396</v>
      </c>
      <c r="J215" s="1" t="s">
        <v>46</v>
      </c>
      <c r="K215" s="1">
        <v>196</v>
      </c>
      <c r="L215" s="1">
        <v>31806</v>
      </c>
      <c r="M215" s="2">
        <f t="shared" si="51"/>
        <v>6233976</v>
      </c>
      <c r="N215" s="1">
        <v>1066009.8999999999</v>
      </c>
      <c r="O215" s="1">
        <f t="shared" si="52"/>
        <v>7299985.9000000004</v>
      </c>
      <c r="P215" s="1">
        <v>5428</v>
      </c>
      <c r="Q215" s="1">
        <f t="shared" si="53"/>
        <v>7294557.9000000004</v>
      </c>
      <c r="R215" s="1">
        <v>1088388</v>
      </c>
      <c r="S215" s="1">
        <f t="shared" si="56"/>
        <v>870710.4</v>
      </c>
      <c r="T215" s="1">
        <f t="shared" si="54"/>
        <v>2394453.6</v>
      </c>
      <c r="U215" s="1">
        <v>4353552</v>
      </c>
      <c r="V215" s="1">
        <f t="shared" si="50"/>
        <v>2941005.9000000004</v>
      </c>
      <c r="W215" s="1">
        <v>4.5</v>
      </c>
    </row>
    <row r="216" spans="1:23" x14ac:dyDescent="0.25">
      <c r="A216" s="1" t="s">
        <v>133</v>
      </c>
      <c r="B216" s="1" t="s">
        <v>37</v>
      </c>
      <c r="C216" s="1" t="s">
        <v>408</v>
      </c>
      <c r="D216" s="1" t="s">
        <v>42</v>
      </c>
      <c r="E216" s="1" t="s">
        <v>43</v>
      </c>
      <c r="F216" s="1" t="s">
        <v>24</v>
      </c>
      <c r="G216" s="1" t="s">
        <v>25</v>
      </c>
      <c r="H216" s="1" t="s">
        <v>398</v>
      </c>
      <c r="I216" s="1" t="s">
        <v>395</v>
      </c>
      <c r="J216" s="1" t="s">
        <v>46</v>
      </c>
      <c r="K216" s="1">
        <v>23</v>
      </c>
      <c r="L216" s="1">
        <v>4114</v>
      </c>
      <c r="M216" s="2">
        <f t="shared" si="51"/>
        <v>94622</v>
      </c>
      <c r="N216" s="1">
        <v>17031.96</v>
      </c>
      <c r="O216" s="1">
        <f t="shared" si="52"/>
        <v>111653.95999999999</v>
      </c>
      <c r="P216" s="1">
        <v>8312</v>
      </c>
      <c r="Q216" s="1">
        <f t="shared" si="53"/>
        <v>103341.95999999999</v>
      </c>
      <c r="R216" s="1">
        <v>55407</v>
      </c>
      <c r="S216" s="1">
        <f t="shared" si="56"/>
        <v>14775.2</v>
      </c>
      <c r="T216" s="1">
        <f t="shared" si="54"/>
        <v>3693.8000000000029</v>
      </c>
      <c r="U216" s="1">
        <v>73876</v>
      </c>
      <c r="V216" s="1">
        <f t="shared" si="50"/>
        <v>29465.959999999992</v>
      </c>
      <c r="W216" s="1">
        <v>4.8</v>
      </c>
    </row>
    <row r="217" spans="1:23" x14ac:dyDescent="0.25">
      <c r="A217" s="1" t="s">
        <v>224</v>
      </c>
      <c r="B217" s="1" t="s">
        <v>32</v>
      </c>
      <c r="C217" s="1" t="s">
        <v>408</v>
      </c>
      <c r="D217" s="1" t="s">
        <v>15</v>
      </c>
      <c r="E217" s="1" t="s">
        <v>16</v>
      </c>
      <c r="F217" s="1" t="s">
        <v>29</v>
      </c>
      <c r="G217" s="1" t="s">
        <v>53</v>
      </c>
      <c r="H217" s="1" t="s">
        <v>398</v>
      </c>
      <c r="I217" s="1" t="s">
        <v>397</v>
      </c>
      <c r="J217" s="1" t="s">
        <v>26</v>
      </c>
      <c r="K217" s="1">
        <v>119</v>
      </c>
      <c r="L217" s="1">
        <v>26473</v>
      </c>
      <c r="M217" s="2">
        <f t="shared" si="51"/>
        <v>3150287</v>
      </c>
      <c r="N217" s="1">
        <v>521687.53</v>
      </c>
      <c r="O217" s="1">
        <f t="shared" si="52"/>
        <v>3671974.5300000003</v>
      </c>
      <c r="P217" s="1">
        <v>5270</v>
      </c>
      <c r="Q217" s="1">
        <f t="shared" si="53"/>
        <v>3666704.5300000003</v>
      </c>
      <c r="R217" s="1">
        <v>1094800</v>
      </c>
      <c r="S217" s="1">
        <f>U217*0.1</f>
        <v>218960</v>
      </c>
      <c r="T217" s="1">
        <f t="shared" si="54"/>
        <v>875840</v>
      </c>
      <c r="U217" s="1">
        <v>2189600</v>
      </c>
      <c r="V217" s="1">
        <f t="shared" si="50"/>
        <v>1477104.5300000003</v>
      </c>
      <c r="W217" s="1">
        <v>4</v>
      </c>
    </row>
    <row r="218" spans="1:23" x14ac:dyDescent="0.25">
      <c r="A218" s="1" t="s">
        <v>225</v>
      </c>
      <c r="B218" s="1" t="s">
        <v>58</v>
      </c>
      <c r="C218" s="1" t="s">
        <v>408</v>
      </c>
      <c r="D218" s="1" t="s">
        <v>62</v>
      </c>
      <c r="E218" s="1" t="s">
        <v>43</v>
      </c>
      <c r="F218" s="1" t="s">
        <v>59</v>
      </c>
      <c r="G218" s="1" t="s">
        <v>60</v>
      </c>
      <c r="H218" s="1" t="s">
        <v>398</v>
      </c>
      <c r="I218" s="1" t="s">
        <v>395</v>
      </c>
      <c r="J218" s="1" t="s">
        <v>26</v>
      </c>
      <c r="K218" s="1">
        <v>71</v>
      </c>
      <c r="L218" s="1">
        <v>10951</v>
      </c>
      <c r="M218" s="2">
        <f t="shared" si="51"/>
        <v>777521</v>
      </c>
      <c r="N218" s="1">
        <v>123159.33</v>
      </c>
      <c r="O218" s="1">
        <f t="shared" si="52"/>
        <v>900680.33</v>
      </c>
      <c r="P218" s="1">
        <v>5873</v>
      </c>
      <c r="Q218" s="1">
        <f t="shared" si="53"/>
        <v>894807.33</v>
      </c>
      <c r="R218" s="1">
        <f t="shared" ref="R218:R219" si="60">0.7*U218</f>
        <v>363505.8</v>
      </c>
      <c r="S218" s="1">
        <f t="shared" si="56"/>
        <v>103858.8</v>
      </c>
      <c r="T218" s="1">
        <f t="shared" si="54"/>
        <v>51929.400000000023</v>
      </c>
      <c r="U218" s="1">
        <v>519294</v>
      </c>
      <c r="V218" s="1">
        <f t="shared" si="50"/>
        <v>375513.32999999996</v>
      </c>
      <c r="W218" s="1">
        <v>3.9</v>
      </c>
    </row>
    <row r="219" spans="1:23" x14ac:dyDescent="0.25">
      <c r="A219" s="1" t="s">
        <v>135</v>
      </c>
      <c r="B219" s="1" t="s">
        <v>34</v>
      </c>
      <c r="C219" s="1" t="s">
        <v>408</v>
      </c>
      <c r="D219" s="1" t="s">
        <v>52</v>
      </c>
      <c r="E219" s="1" t="s">
        <v>23</v>
      </c>
      <c r="F219" s="1" t="s">
        <v>59</v>
      </c>
      <c r="G219" s="1" t="s">
        <v>103</v>
      </c>
      <c r="H219" s="1" t="s">
        <v>398</v>
      </c>
      <c r="I219" s="1" t="s">
        <v>19</v>
      </c>
      <c r="J219" s="1" t="s">
        <v>26</v>
      </c>
      <c r="K219" s="1">
        <v>59</v>
      </c>
      <c r="L219" s="1">
        <v>25635</v>
      </c>
      <c r="M219" s="2">
        <f t="shared" si="51"/>
        <v>1512465</v>
      </c>
      <c r="N219" s="1">
        <v>258631.51</v>
      </c>
      <c r="O219" s="1">
        <f t="shared" si="52"/>
        <v>1771096.51</v>
      </c>
      <c r="P219" s="1">
        <v>6540</v>
      </c>
      <c r="Q219" s="1">
        <f t="shared" si="53"/>
        <v>1764556.51</v>
      </c>
      <c r="R219" s="1">
        <f t="shared" si="60"/>
        <v>683143.29999999993</v>
      </c>
      <c r="S219" s="1">
        <f t="shared" si="56"/>
        <v>195183.80000000002</v>
      </c>
      <c r="T219" s="1">
        <f t="shared" si="54"/>
        <v>97591.900000000023</v>
      </c>
      <c r="U219" s="1">
        <v>975919</v>
      </c>
      <c r="V219" s="1">
        <f t="shared" si="50"/>
        <v>788637.51</v>
      </c>
      <c r="W219" s="1">
        <v>3.5</v>
      </c>
    </row>
    <row r="220" spans="1:23" x14ac:dyDescent="0.25">
      <c r="A220" s="1" t="s">
        <v>226</v>
      </c>
      <c r="B220" s="1" t="s">
        <v>28</v>
      </c>
      <c r="C220" s="1" t="s">
        <v>408</v>
      </c>
      <c r="D220" s="1" t="s">
        <v>55</v>
      </c>
      <c r="E220" s="1" t="s">
        <v>56</v>
      </c>
      <c r="F220" s="1" t="s">
        <v>24</v>
      </c>
      <c r="G220" s="1" t="s">
        <v>63</v>
      </c>
      <c r="H220" s="1" t="s">
        <v>399</v>
      </c>
      <c r="I220" s="1" t="s">
        <v>395</v>
      </c>
      <c r="J220" s="1" t="s">
        <v>46</v>
      </c>
      <c r="K220" s="1">
        <v>26</v>
      </c>
      <c r="L220" s="1">
        <v>29158</v>
      </c>
      <c r="M220" s="2">
        <f t="shared" si="51"/>
        <v>758108</v>
      </c>
      <c r="N220" s="1">
        <v>136459.44</v>
      </c>
      <c r="O220" s="1">
        <f t="shared" si="52"/>
        <v>894567.44</v>
      </c>
      <c r="P220" s="1">
        <v>7805</v>
      </c>
      <c r="Q220" s="1">
        <f t="shared" si="53"/>
        <v>886762.44</v>
      </c>
      <c r="R220" s="1">
        <v>438223.5</v>
      </c>
      <c r="S220" s="1">
        <f t="shared" si="56"/>
        <v>116859.6</v>
      </c>
      <c r="T220" s="1">
        <f t="shared" si="54"/>
        <v>29214.900000000023</v>
      </c>
      <c r="U220" s="1">
        <v>584298</v>
      </c>
      <c r="V220" s="1">
        <f t="shared" si="50"/>
        <v>302464.43999999994</v>
      </c>
      <c r="W220" s="1">
        <v>4.4000000000000004</v>
      </c>
    </row>
    <row r="221" spans="1:23" x14ac:dyDescent="0.25">
      <c r="A221" s="1" t="s">
        <v>227</v>
      </c>
      <c r="B221" s="1" t="s">
        <v>58</v>
      </c>
      <c r="C221" s="1" t="s">
        <v>408</v>
      </c>
      <c r="D221" s="1" t="s">
        <v>78</v>
      </c>
      <c r="E221" s="1" t="s">
        <v>49</v>
      </c>
      <c r="F221" s="1" t="s">
        <v>24</v>
      </c>
      <c r="G221" s="1" t="s">
        <v>143</v>
      </c>
      <c r="H221" s="1" t="s">
        <v>398</v>
      </c>
      <c r="I221" s="1" t="s">
        <v>39</v>
      </c>
      <c r="J221" s="1" t="s">
        <v>46</v>
      </c>
      <c r="K221" s="1">
        <v>192</v>
      </c>
      <c r="L221" s="1">
        <v>4716</v>
      </c>
      <c r="M221" s="2">
        <f t="shared" si="51"/>
        <v>905472</v>
      </c>
      <c r="N221" s="1">
        <v>162984.95999999999</v>
      </c>
      <c r="O221" s="1">
        <f t="shared" si="52"/>
        <v>1068456.96</v>
      </c>
      <c r="P221" s="1">
        <v>7178</v>
      </c>
      <c r="Q221" s="1">
        <f t="shared" si="53"/>
        <v>1061278.96</v>
      </c>
      <c r="R221" s="1">
        <v>528912</v>
      </c>
      <c r="S221" s="1">
        <f t="shared" si="56"/>
        <v>141043.20000000001</v>
      </c>
      <c r="T221" s="1">
        <f t="shared" si="54"/>
        <v>35260.800000000047</v>
      </c>
      <c r="U221" s="1">
        <v>705216</v>
      </c>
      <c r="V221" s="1">
        <f t="shared" si="50"/>
        <v>356062.95999999996</v>
      </c>
      <c r="W221" s="1">
        <v>3.8</v>
      </c>
    </row>
    <row r="222" spans="1:23" x14ac:dyDescent="0.25">
      <c r="A222" s="1" t="s">
        <v>228</v>
      </c>
      <c r="B222" s="1" t="s">
        <v>28</v>
      </c>
      <c r="C222" s="1" t="s">
        <v>408</v>
      </c>
      <c r="D222" s="1" t="s">
        <v>78</v>
      </c>
      <c r="E222" s="1" t="s">
        <v>49</v>
      </c>
      <c r="F222" s="1" t="s">
        <v>29</v>
      </c>
      <c r="G222" s="1" t="s">
        <v>53</v>
      </c>
      <c r="H222" s="1" t="s">
        <v>399</v>
      </c>
      <c r="I222" s="1" t="s">
        <v>19</v>
      </c>
      <c r="J222" s="1" t="s">
        <v>46</v>
      </c>
      <c r="K222" s="1">
        <v>49</v>
      </c>
      <c r="L222" s="1">
        <v>16092</v>
      </c>
      <c r="M222" s="2">
        <f t="shared" si="51"/>
        <v>788508</v>
      </c>
      <c r="N222" s="1">
        <v>120641.72</v>
      </c>
      <c r="O222" s="1">
        <f t="shared" si="52"/>
        <v>909149.72</v>
      </c>
      <c r="P222" s="1">
        <v>9129</v>
      </c>
      <c r="Q222" s="1">
        <f t="shared" si="53"/>
        <v>900020.72</v>
      </c>
      <c r="R222" s="1">
        <v>384515.25</v>
      </c>
      <c r="S222" s="1">
        <f>U222*0.1</f>
        <v>51268.700000000004</v>
      </c>
      <c r="T222" s="1">
        <f t="shared" si="54"/>
        <v>76903.049999999988</v>
      </c>
      <c r="U222" s="1">
        <v>512687</v>
      </c>
      <c r="V222" s="1">
        <f t="shared" si="50"/>
        <v>387333.72</v>
      </c>
      <c r="W222" s="1">
        <v>4.5</v>
      </c>
    </row>
    <row r="223" spans="1:23" x14ac:dyDescent="0.25">
      <c r="A223" s="1" t="s">
        <v>229</v>
      </c>
      <c r="B223" s="1" t="s">
        <v>34</v>
      </c>
      <c r="C223" s="1" t="s">
        <v>408</v>
      </c>
      <c r="D223" s="1" t="s">
        <v>42</v>
      </c>
      <c r="E223" s="1" t="s">
        <v>43</v>
      </c>
      <c r="F223" s="1" t="s">
        <v>24</v>
      </c>
      <c r="G223" s="1" t="s">
        <v>119</v>
      </c>
      <c r="H223" s="1" t="s">
        <v>399</v>
      </c>
      <c r="I223" s="1" t="s">
        <v>397</v>
      </c>
      <c r="J223" s="1" t="s">
        <v>46</v>
      </c>
      <c r="K223" s="1">
        <v>161</v>
      </c>
      <c r="L223" s="1">
        <v>19895</v>
      </c>
      <c r="M223" s="2">
        <f t="shared" si="51"/>
        <v>3203095</v>
      </c>
      <c r="N223" s="1">
        <v>547729.24</v>
      </c>
      <c r="O223" s="1">
        <f t="shared" si="52"/>
        <v>3750824.24</v>
      </c>
      <c r="P223" s="1">
        <v>8876</v>
      </c>
      <c r="Q223" s="1">
        <f t="shared" si="53"/>
        <v>3741948.24</v>
      </c>
      <c r="R223" s="1">
        <v>1710906.75</v>
      </c>
      <c r="S223" s="1">
        <f t="shared" si="56"/>
        <v>456241.80000000005</v>
      </c>
      <c r="T223" s="1">
        <f t="shared" si="54"/>
        <v>114060.44999999995</v>
      </c>
      <c r="U223" s="1">
        <v>2281209</v>
      </c>
      <c r="V223" s="1">
        <f t="shared" si="50"/>
        <v>1460739.2400000002</v>
      </c>
      <c r="W223" s="1">
        <v>4.0999999999999996</v>
      </c>
    </row>
    <row r="224" spans="1:23" x14ac:dyDescent="0.25">
      <c r="A224" s="1" t="s">
        <v>215</v>
      </c>
      <c r="B224" s="1" t="s">
        <v>51</v>
      </c>
      <c r="C224" s="1" t="s">
        <v>408</v>
      </c>
      <c r="D224" s="1" t="s">
        <v>42</v>
      </c>
      <c r="E224" s="1" t="s">
        <v>43</v>
      </c>
      <c r="F224" s="1" t="s">
        <v>17</v>
      </c>
      <c r="G224" s="1" t="s">
        <v>35</v>
      </c>
      <c r="H224" s="1" t="s">
        <v>398</v>
      </c>
      <c r="I224" s="1" t="s">
        <v>397</v>
      </c>
      <c r="J224" s="1" t="s">
        <v>26</v>
      </c>
      <c r="K224" s="1">
        <v>52</v>
      </c>
      <c r="L224" s="1">
        <v>27807</v>
      </c>
      <c r="M224" s="2">
        <f t="shared" si="51"/>
        <v>1445964</v>
      </c>
      <c r="N224" s="1">
        <v>247259.84</v>
      </c>
      <c r="O224" s="1">
        <f t="shared" si="52"/>
        <v>1693223.84</v>
      </c>
      <c r="P224" s="1">
        <v>9392</v>
      </c>
      <c r="Q224" s="1">
        <f t="shared" si="53"/>
        <v>1683831.84</v>
      </c>
      <c r="R224" s="1">
        <f>0.62*U224</f>
        <v>700123.84</v>
      </c>
      <c r="S224" s="1">
        <f>U224*0.2</f>
        <v>225846.40000000002</v>
      </c>
      <c r="T224" s="1">
        <f t="shared" si="54"/>
        <v>203261.76</v>
      </c>
      <c r="U224" s="1">
        <v>1129232</v>
      </c>
      <c r="V224" s="1">
        <f t="shared" si="50"/>
        <v>554599.84000000008</v>
      </c>
      <c r="W224" s="1">
        <v>4.9000000000000004</v>
      </c>
    </row>
    <row r="225" spans="1:23" x14ac:dyDescent="0.25">
      <c r="A225" s="1" t="s">
        <v>165</v>
      </c>
      <c r="B225" s="1" t="s">
        <v>32</v>
      </c>
      <c r="C225" s="1" t="s">
        <v>408</v>
      </c>
      <c r="D225" s="1" t="s">
        <v>42</v>
      </c>
      <c r="E225" s="1" t="s">
        <v>43</v>
      </c>
      <c r="F225" s="1" t="s">
        <v>59</v>
      </c>
      <c r="G225" s="1" t="s">
        <v>103</v>
      </c>
      <c r="H225" s="1" t="s">
        <v>399</v>
      </c>
      <c r="I225" s="1" t="s">
        <v>396</v>
      </c>
      <c r="J225" s="1" t="s">
        <v>26</v>
      </c>
      <c r="K225" s="1">
        <v>192</v>
      </c>
      <c r="L225" s="1">
        <v>4088</v>
      </c>
      <c r="M225" s="2">
        <f t="shared" si="51"/>
        <v>784896</v>
      </c>
      <c r="N225" s="1">
        <v>120089.09</v>
      </c>
      <c r="O225" s="1">
        <f t="shared" si="52"/>
        <v>904985.09</v>
      </c>
      <c r="P225" s="1">
        <v>9172</v>
      </c>
      <c r="Q225" s="1">
        <f t="shared" si="53"/>
        <v>895813.09</v>
      </c>
      <c r="R225" s="1">
        <f>0.7*U225</f>
        <v>380083.19999999995</v>
      </c>
      <c r="S225" s="1">
        <f t="shared" si="56"/>
        <v>108595.20000000001</v>
      </c>
      <c r="T225" s="1">
        <f t="shared" si="54"/>
        <v>54297.600000000035</v>
      </c>
      <c r="U225" s="1">
        <v>542976</v>
      </c>
      <c r="V225" s="1">
        <f t="shared" si="50"/>
        <v>352837.08999999997</v>
      </c>
      <c r="W225" s="1">
        <v>4.7</v>
      </c>
    </row>
    <row r="226" spans="1:23" x14ac:dyDescent="0.25">
      <c r="A226" s="1" t="s">
        <v>230</v>
      </c>
      <c r="B226" s="1" t="s">
        <v>34</v>
      </c>
      <c r="C226" s="1" t="s">
        <v>408</v>
      </c>
      <c r="D226" s="1" t="s">
        <v>74</v>
      </c>
      <c r="E226" s="1" t="s">
        <v>56</v>
      </c>
      <c r="F226" s="1" t="s">
        <v>24</v>
      </c>
      <c r="G226" s="1" t="s">
        <v>63</v>
      </c>
      <c r="H226" s="1" t="s">
        <v>399</v>
      </c>
      <c r="I226" s="1" t="s">
        <v>395</v>
      </c>
      <c r="J226" s="1" t="s">
        <v>26</v>
      </c>
      <c r="K226" s="1">
        <v>96</v>
      </c>
      <c r="L226" s="1">
        <v>24652</v>
      </c>
      <c r="M226" s="2">
        <f t="shared" si="51"/>
        <v>2366592</v>
      </c>
      <c r="N226" s="1">
        <v>404687.23</v>
      </c>
      <c r="O226" s="1">
        <f t="shared" si="52"/>
        <v>2771279.23</v>
      </c>
      <c r="P226" s="1">
        <v>5175</v>
      </c>
      <c r="Q226" s="1">
        <f t="shared" si="53"/>
        <v>2766104.23</v>
      </c>
      <c r="R226" s="1">
        <v>374784</v>
      </c>
      <c r="S226" s="1">
        <f t="shared" si="56"/>
        <v>299827.20000000001</v>
      </c>
      <c r="T226" s="1">
        <f t="shared" si="54"/>
        <v>824524.80000000005</v>
      </c>
      <c r="U226" s="1">
        <v>1499136</v>
      </c>
      <c r="V226" s="1">
        <f t="shared" si="50"/>
        <v>1266968.23</v>
      </c>
      <c r="W226" s="1">
        <v>4.5999999999999996</v>
      </c>
    </row>
    <row r="227" spans="1:23" x14ac:dyDescent="0.25">
      <c r="A227" s="1" t="s">
        <v>231</v>
      </c>
      <c r="B227" s="1" t="s">
        <v>14</v>
      </c>
      <c r="C227" s="1" t="s">
        <v>408</v>
      </c>
      <c r="D227" s="1" t="s">
        <v>52</v>
      </c>
      <c r="E227" s="1" t="s">
        <v>23</v>
      </c>
      <c r="F227" s="1" t="s">
        <v>29</v>
      </c>
      <c r="G227" s="1" t="s">
        <v>30</v>
      </c>
      <c r="H227" s="1" t="s">
        <v>399</v>
      </c>
      <c r="I227" s="1" t="s">
        <v>19</v>
      </c>
      <c r="J227" s="1" t="s">
        <v>46</v>
      </c>
      <c r="K227" s="1">
        <v>24</v>
      </c>
      <c r="L227" s="1">
        <v>16260</v>
      </c>
      <c r="M227" s="2">
        <f t="shared" si="51"/>
        <v>390240</v>
      </c>
      <c r="N227" s="1">
        <v>64623.74</v>
      </c>
      <c r="O227" s="1">
        <f t="shared" si="52"/>
        <v>454863.74</v>
      </c>
      <c r="P227" s="1">
        <v>9422</v>
      </c>
      <c r="Q227" s="1">
        <f t="shared" si="53"/>
        <v>445441.74</v>
      </c>
      <c r="R227" s="1">
        <v>212742</v>
      </c>
      <c r="S227" s="1">
        <f>U227*0.1</f>
        <v>28365.600000000002</v>
      </c>
      <c r="T227" s="1">
        <f t="shared" si="54"/>
        <v>42548.399999999994</v>
      </c>
      <c r="U227" s="1">
        <v>283656</v>
      </c>
      <c r="V227" s="1">
        <f t="shared" si="50"/>
        <v>161785.74</v>
      </c>
      <c r="W227" s="1">
        <v>4.5999999999999996</v>
      </c>
    </row>
    <row r="228" spans="1:23" x14ac:dyDescent="0.25">
      <c r="A228" s="1" t="s">
        <v>102</v>
      </c>
      <c r="B228" s="1" t="s">
        <v>51</v>
      </c>
      <c r="C228" s="1" t="s">
        <v>408</v>
      </c>
      <c r="D228" s="1" t="s">
        <v>48</v>
      </c>
      <c r="E228" s="1" t="s">
        <v>49</v>
      </c>
      <c r="F228" s="1" t="s">
        <v>59</v>
      </c>
      <c r="G228" s="1" t="s">
        <v>103</v>
      </c>
      <c r="H228" s="1" t="s">
        <v>398</v>
      </c>
      <c r="I228" s="1" t="s">
        <v>39</v>
      </c>
      <c r="J228" s="1" t="s">
        <v>26</v>
      </c>
      <c r="K228" s="1">
        <v>191</v>
      </c>
      <c r="L228" s="1">
        <v>18802</v>
      </c>
      <c r="M228" s="2">
        <f t="shared" si="51"/>
        <v>3591182</v>
      </c>
      <c r="N228" s="1">
        <v>568843.23</v>
      </c>
      <c r="O228" s="1">
        <f t="shared" si="52"/>
        <v>4160025.23</v>
      </c>
      <c r="P228" s="1">
        <v>7949</v>
      </c>
      <c r="Q228" s="1">
        <f t="shared" si="53"/>
        <v>4152076.23</v>
      </c>
      <c r="R228" s="1">
        <f>0.7*U228</f>
        <v>1807757.7</v>
      </c>
      <c r="S228" s="1">
        <f t="shared" si="56"/>
        <v>516502.2</v>
      </c>
      <c r="T228" s="1">
        <f t="shared" si="54"/>
        <v>258251.10000000009</v>
      </c>
      <c r="U228" s="1">
        <v>2582511</v>
      </c>
      <c r="V228" s="1">
        <f t="shared" si="50"/>
        <v>1569565.23</v>
      </c>
      <c r="W228" s="1">
        <v>4.5</v>
      </c>
    </row>
    <row r="229" spans="1:23" x14ac:dyDescent="0.25">
      <c r="A229" s="1" t="s">
        <v>232</v>
      </c>
      <c r="B229" s="1" t="s">
        <v>109</v>
      </c>
      <c r="C229" s="1" t="s">
        <v>408</v>
      </c>
      <c r="D229" s="1" t="s">
        <v>62</v>
      </c>
      <c r="E229" s="1" t="s">
        <v>43</v>
      </c>
      <c r="F229" s="1" t="s">
        <v>24</v>
      </c>
      <c r="G229" s="1" t="s">
        <v>25</v>
      </c>
      <c r="H229" s="1" t="s">
        <v>399</v>
      </c>
      <c r="I229" s="1" t="s">
        <v>19</v>
      </c>
      <c r="J229" s="1" t="s">
        <v>46</v>
      </c>
      <c r="K229" s="1">
        <v>117</v>
      </c>
      <c r="L229" s="1">
        <v>10553</v>
      </c>
      <c r="M229" s="2">
        <f t="shared" si="51"/>
        <v>1234701</v>
      </c>
      <c r="N229" s="1">
        <v>188909.25</v>
      </c>
      <c r="O229" s="1">
        <f t="shared" si="52"/>
        <v>1423610.25</v>
      </c>
      <c r="P229" s="1">
        <v>6396</v>
      </c>
      <c r="Q229" s="1">
        <f t="shared" si="53"/>
        <v>1417214.25</v>
      </c>
      <c r="R229" s="1">
        <v>391716</v>
      </c>
      <c r="S229" s="1">
        <f t="shared" si="56"/>
        <v>156686.39999999999</v>
      </c>
      <c r="T229" s="1">
        <f t="shared" si="54"/>
        <v>235029.59999999998</v>
      </c>
      <c r="U229" s="1">
        <v>783432</v>
      </c>
      <c r="V229" s="1">
        <f t="shared" si="50"/>
        <v>633782.25</v>
      </c>
      <c r="W229" s="1">
        <v>4.9000000000000004</v>
      </c>
    </row>
    <row r="230" spans="1:23" x14ac:dyDescent="0.25">
      <c r="A230" s="1" t="s">
        <v>233</v>
      </c>
      <c r="B230" s="1" t="s">
        <v>32</v>
      </c>
      <c r="C230" s="1" t="s">
        <v>408</v>
      </c>
      <c r="D230" s="1" t="s">
        <v>22</v>
      </c>
      <c r="E230" s="1" t="s">
        <v>23</v>
      </c>
      <c r="F230" s="1" t="s">
        <v>59</v>
      </c>
      <c r="G230" s="1" t="s">
        <v>67</v>
      </c>
      <c r="H230" s="1" t="s">
        <v>399</v>
      </c>
      <c r="I230" s="1" t="s">
        <v>397</v>
      </c>
      <c r="J230" s="1" t="s">
        <v>26</v>
      </c>
      <c r="K230" s="1">
        <v>37</v>
      </c>
      <c r="L230" s="1">
        <v>33587</v>
      </c>
      <c r="M230" s="2">
        <f t="shared" si="51"/>
        <v>1242719</v>
      </c>
      <c r="N230" s="1">
        <v>223689.42</v>
      </c>
      <c r="O230" s="1">
        <f t="shared" si="52"/>
        <v>1466408.42</v>
      </c>
      <c r="P230" s="1">
        <v>7496</v>
      </c>
      <c r="Q230" s="1">
        <f t="shared" si="53"/>
        <v>1458912.42</v>
      </c>
      <c r="R230" s="1">
        <f>0.7*U230</f>
        <v>588499.79999999993</v>
      </c>
      <c r="S230" s="1">
        <f t="shared" si="56"/>
        <v>168142.80000000002</v>
      </c>
      <c r="T230" s="1">
        <f t="shared" si="54"/>
        <v>84071.400000000023</v>
      </c>
      <c r="U230" s="1">
        <v>840714</v>
      </c>
      <c r="V230" s="1">
        <f t="shared" si="50"/>
        <v>618198.41999999993</v>
      </c>
      <c r="W230" s="1">
        <v>3.9</v>
      </c>
    </row>
    <row r="231" spans="1:23" x14ac:dyDescent="0.25">
      <c r="A231" s="1" t="s">
        <v>31</v>
      </c>
      <c r="B231" s="1" t="s">
        <v>14</v>
      </c>
      <c r="C231" s="1" t="s">
        <v>408</v>
      </c>
      <c r="D231" s="1" t="s">
        <v>15</v>
      </c>
      <c r="E231" s="1" t="s">
        <v>16</v>
      </c>
      <c r="F231" s="1" t="s">
        <v>29</v>
      </c>
      <c r="G231" s="1" t="s">
        <v>30</v>
      </c>
      <c r="H231" s="1" t="s">
        <v>398</v>
      </c>
      <c r="I231" s="1" t="s">
        <v>397</v>
      </c>
      <c r="J231" s="1" t="s">
        <v>26</v>
      </c>
      <c r="K231" s="1">
        <v>27</v>
      </c>
      <c r="L231" s="1">
        <v>24908</v>
      </c>
      <c r="M231" s="2">
        <f t="shared" si="51"/>
        <v>672516</v>
      </c>
      <c r="N231" s="1">
        <v>111368.65</v>
      </c>
      <c r="O231" s="1">
        <f t="shared" si="52"/>
        <v>783884.65</v>
      </c>
      <c r="P231" s="1">
        <v>7956</v>
      </c>
      <c r="Q231" s="1">
        <f t="shared" si="53"/>
        <v>775928.65</v>
      </c>
      <c r="R231" s="1">
        <v>320031</v>
      </c>
      <c r="S231" s="1">
        <f>U231*0.1</f>
        <v>42670.8</v>
      </c>
      <c r="T231" s="1">
        <f t="shared" si="54"/>
        <v>64006.200000000012</v>
      </c>
      <c r="U231" s="1">
        <v>426708</v>
      </c>
      <c r="V231" s="1">
        <f t="shared" si="50"/>
        <v>349220.65</v>
      </c>
      <c r="W231" s="1">
        <v>4.0999999999999996</v>
      </c>
    </row>
    <row r="232" spans="1:23" x14ac:dyDescent="0.25">
      <c r="A232" s="1" t="s">
        <v>166</v>
      </c>
      <c r="B232" s="1" t="s">
        <v>69</v>
      </c>
      <c r="C232" s="1" t="s">
        <v>408</v>
      </c>
      <c r="D232" s="1" t="s">
        <v>62</v>
      </c>
      <c r="E232" s="1" t="s">
        <v>43</v>
      </c>
      <c r="F232" s="1" t="s">
        <v>59</v>
      </c>
      <c r="G232" s="1" t="s">
        <v>85</v>
      </c>
      <c r="H232" s="1" t="s">
        <v>399</v>
      </c>
      <c r="I232" s="1" t="s">
        <v>397</v>
      </c>
      <c r="J232" s="1" t="s">
        <v>46</v>
      </c>
      <c r="K232" s="1">
        <v>167</v>
      </c>
      <c r="L232" s="1">
        <v>3783</v>
      </c>
      <c r="M232" s="2">
        <f t="shared" si="51"/>
        <v>631761</v>
      </c>
      <c r="N232" s="1">
        <v>96659.43</v>
      </c>
      <c r="O232" s="1">
        <f t="shared" si="52"/>
        <v>728420.42999999993</v>
      </c>
      <c r="P232" s="1">
        <v>6619</v>
      </c>
      <c r="Q232" s="1">
        <f t="shared" si="53"/>
        <v>721801.42999999993</v>
      </c>
      <c r="R232" s="1">
        <f>0.7*U232</f>
        <v>313876.5</v>
      </c>
      <c r="S232" s="1">
        <f t="shared" si="56"/>
        <v>89679</v>
      </c>
      <c r="T232" s="1">
        <f t="shared" si="54"/>
        <v>44839.5</v>
      </c>
      <c r="U232" s="1">
        <v>448395</v>
      </c>
      <c r="V232" s="1">
        <f t="shared" si="50"/>
        <v>273406.42999999993</v>
      </c>
      <c r="W232" s="1">
        <v>4.5</v>
      </c>
    </row>
    <row r="233" spans="1:23" x14ac:dyDescent="0.25">
      <c r="A233" s="1" t="s">
        <v>50</v>
      </c>
      <c r="B233" s="1" t="s">
        <v>34</v>
      </c>
      <c r="C233" s="1" t="s">
        <v>408</v>
      </c>
      <c r="D233" s="1" t="s">
        <v>62</v>
      </c>
      <c r="E233" s="1" t="s">
        <v>43</v>
      </c>
      <c r="F233" s="1" t="s">
        <v>17</v>
      </c>
      <c r="G233" s="1" t="s">
        <v>75</v>
      </c>
      <c r="H233" s="1" t="s">
        <v>398</v>
      </c>
      <c r="I233" s="1" t="s">
        <v>39</v>
      </c>
      <c r="J233" s="1" t="s">
        <v>46</v>
      </c>
      <c r="K233" s="1">
        <v>123</v>
      </c>
      <c r="L233" s="1">
        <v>18066</v>
      </c>
      <c r="M233" s="2">
        <f t="shared" si="51"/>
        <v>2222118</v>
      </c>
      <c r="N233" s="1">
        <v>351983.49</v>
      </c>
      <c r="O233" s="1">
        <f t="shared" si="52"/>
        <v>2574101.4900000002</v>
      </c>
      <c r="P233" s="1">
        <v>5289</v>
      </c>
      <c r="Q233" s="1">
        <f t="shared" si="53"/>
        <v>2568812.4900000002</v>
      </c>
      <c r="R233" s="1">
        <f t="shared" ref="R233:R234" si="61">0.62*U233</f>
        <v>983906.52</v>
      </c>
      <c r="S233" s="1">
        <f t="shared" si="56"/>
        <v>317389.2</v>
      </c>
      <c r="T233" s="1">
        <f t="shared" si="54"/>
        <v>285650.28000000003</v>
      </c>
      <c r="U233" s="1">
        <v>1586946</v>
      </c>
      <c r="V233" s="1">
        <f t="shared" si="50"/>
        <v>981866.49000000022</v>
      </c>
      <c r="W233" s="1">
        <v>4.5999999999999996</v>
      </c>
    </row>
    <row r="234" spans="1:23" x14ac:dyDescent="0.25">
      <c r="A234" s="1" t="s">
        <v>234</v>
      </c>
      <c r="B234" s="1" t="s">
        <v>28</v>
      </c>
      <c r="C234" s="1" t="s">
        <v>408</v>
      </c>
      <c r="D234" s="1" t="s">
        <v>78</v>
      </c>
      <c r="E234" s="1" t="s">
        <v>49</v>
      </c>
      <c r="F234" s="1" t="s">
        <v>17</v>
      </c>
      <c r="G234" s="1" t="s">
        <v>75</v>
      </c>
      <c r="H234" s="1" t="s">
        <v>399</v>
      </c>
      <c r="I234" s="1" t="s">
        <v>397</v>
      </c>
      <c r="J234" s="1" t="s">
        <v>26</v>
      </c>
      <c r="K234" s="1">
        <v>108</v>
      </c>
      <c r="L234" s="1">
        <v>39685</v>
      </c>
      <c r="M234" s="2">
        <f t="shared" si="51"/>
        <v>4285980</v>
      </c>
      <c r="N234" s="1">
        <v>709758.29</v>
      </c>
      <c r="O234" s="1">
        <f t="shared" si="52"/>
        <v>4995738.29</v>
      </c>
      <c r="P234" s="1">
        <v>8605</v>
      </c>
      <c r="Q234" s="1">
        <f t="shared" si="53"/>
        <v>4987133.29</v>
      </c>
      <c r="R234" s="1">
        <f t="shared" si="61"/>
        <v>1662951.6</v>
      </c>
      <c r="S234" s="1">
        <f t="shared" si="56"/>
        <v>536436</v>
      </c>
      <c r="T234" s="1">
        <f t="shared" si="54"/>
        <v>482792.39999999991</v>
      </c>
      <c r="U234" s="1">
        <v>2682180</v>
      </c>
      <c r="V234" s="1">
        <f t="shared" si="50"/>
        <v>2304953.29</v>
      </c>
      <c r="W234" s="1">
        <v>4.2</v>
      </c>
    </row>
    <row r="235" spans="1:23" x14ac:dyDescent="0.25">
      <c r="A235" s="1" t="s">
        <v>149</v>
      </c>
      <c r="B235" s="1" t="s">
        <v>58</v>
      </c>
      <c r="C235" s="1" t="s">
        <v>408</v>
      </c>
      <c r="D235" s="1" t="s">
        <v>42</v>
      </c>
      <c r="E235" s="1" t="s">
        <v>43</v>
      </c>
      <c r="F235" s="1" t="s">
        <v>29</v>
      </c>
      <c r="G235" s="1" t="s">
        <v>91</v>
      </c>
      <c r="H235" s="1" t="s">
        <v>399</v>
      </c>
      <c r="I235" s="1" t="s">
        <v>39</v>
      </c>
      <c r="J235" s="1" t="s">
        <v>26</v>
      </c>
      <c r="K235" s="1">
        <v>186</v>
      </c>
      <c r="L235" s="1">
        <v>28973</v>
      </c>
      <c r="M235" s="2">
        <f t="shared" si="51"/>
        <v>5388978</v>
      </c>
      <c r="N235" s="1">
        <v>921515.24</v>
      </c>
      <c r="O235" s="1">
        <f t="shared" si="52"/>
        <v>6310493.2400000002</v>
      </c>
      <c r="P235" s="1">
        <v>5840</v>
      </c>
      <c r="Q235" s="1">
        <f t="shared" si="53"/>
        <v>6304653.2400000002</v>
      </c>
      <c r="R235" s="1">
        <v>2697930</v>
      </c>
      <c r="S235" s="1">
        <f t="shared" ref="S235:S236" si="62">U235*0.1</f>
        <v>359724</v>
      </c>
      <c r="T235" s="1">
        <f t="shared" si="54"/>
        <v>539586</v>
      </c>
      <c r="U235" s="1">
        <v>3597240</v>
      </c>
      <c r="V235" s="1">
        <f t="shared" si="50"/>
        <v>2707413.24</v>
      </c>
      <c r="W235" s="1">
        <v>3.8</v>
      </c>
    </row>
    <row r="236" spans="1:23" x14ac:dyDescent="0.25">
      <c r="A236" s="1" t="s">
        <v>172</v>
      </c>
      <c r="B236" s="1" t="s">
        <v>77</v>
      </c>
      <c r="C236" s="1" t="s">
        <v>408</v>
      </c>
      <c r="D236" s="1" t="s">
        <v>55</v>
      </c>
      <c r="E236" s="1" t="s">
        <v>56</v>
      </c>
      <c r="F236" s="1" t="s">
        <v>29</v>
      </c>
      <c r="G236" s="1" t="s">
        <v>53</v>
      </c>
      <c r="H236" s="1" t="s">
        <v>398</v>
      </c>
      <c r="I236" s="1" t="s">
        <v>39</v>
      </c>
      <c r="J236" s="1" t="s">
        <v>26</v>
      </c>
      <c r="K236" s="1">
        <v>90</v>
      </c>
      <c r="L236" s="1">
        <v>24410</v>
      </c>
      <c r="M236" s="2">
        <f t="shared" si="51"/>
        <v>2196900</v>
      </c>
      <c r="N236" s="1">
        <v>347988.96</v>
      </c>
      <c r="O236" s="1">
        <f t="shared" si="52"/>
        <v>2544888.96</v>
      </c>
      <c r="P236" s="1">
        <v>6759</v>
      </c>
      <c r="Q236" s="1">
        <f t="shared" si="53"/>
        <v>2538129.96</v>
      </c>
      <c r="R236" s="1">
        <v>1060762.5</v>
      </c>
      <c r="S236" s="1">
        <f t="shared" si="62"/>
        <v>141435</v>
      </c>
      <c r="T236" s="1">
        <f t="shared" si="54"/>
        <v>212152.5</v>
      </c>
      <c r="U236" s="1">
        <v>1414350</v>
      </c>
      <c r="V236" s="1">
        <f t="shared" si="50"/>
        <v>1123779.96</v>
      </c>
      <c r="W236" s="1">
        <v>4.4000000000000004</v>
      </c>
    </row>
    <row r="237" spans="1:23" x14ac:dyDescent="0.25">
      <c r="A237" s="1" t="s">
        <v>179</v>
      </c>
      <c r="B237" s="1" t="s">
        <v>28</v>
      </c>
      <c r="C237" s="1" t="s">
        <v>408</v>
      </c>
      <c r="D237" s="1" t="s">
        <v>62</v>
      </c>
      <c r="E237" s="1" t="s">
        <v>43</v>
      </c>
      <c r="F237" s="1" t="s">
        <v>17</v>
      </c>
      <c r="G237" s="1" t="s">
        <v>75</v>
      </c>
      <c r="H237" s="1" t="s">
        <v>399</v>
      </c>
      <c r="I237" s="1" t="s">
        <v>39</v>
      </c>
      <c r="J237" s="1" t="s">
        <v>46</v>
      </c>
      <c r="K237" s="1">
        <v>50</v>
      </c>
      <c r="L237" s="1">
        <v>11234</v>
      </c>
      <c r="M237" s="2">
        <f t="shared" si="51"/>
        <v>561700</v>
      </c>
      <c r="N237" s="1">
        <v>85940.1</v>
      </c>
      <c r="O237" s="1">
        <f t="shared" si="52"/>
        <v>647640.1</v>
      </c>
      <c r="P237" s="1">
        <v>6829</v>
      </c>
      <c r="Q237" s="1">
        <f t="shared" si="53"/>
        <v>640811.1</v>
      </c>
      <c r="R237" s="1">
        <f>0.62*U237</f>
        <v>268770</v>
      </c>
      <c r="S237" s="1">
        <f>U237*0.2</f>
        <v>86700</v>
      </c>
      <c r="T237" s="1">
        <f t="shared" si="54"/>
        <v>78030</v>
      </c>
      <c r="U237" s="1">
        <v>433500</v>
      </c>
      <c r="V237" s="1">
        <f t="shared" si="50"/>
        <v>207311.09999999998</v>
      </c>
      <c r="W237" s="1">
        <v>3.6</v>
      </c>
    </row>
    <row r="238" spans="1:23" x14ac:dyDescent="0.25">
      <c r="A238" s="1" t="s">
        <v>235</v>
      </c>
      <c r="B238" s="1" t="s">
        <v>69</v>
      </c>
      <c r="C238" s="1" t="s">
        <v>408</v>
      </c>
      <c r="D238" s="1" t="s">
        <v>78</v>
      </c>
      <c r="E238" s="1" t="s">
        <v>49</v>
      </c>
      <c r="F238" s="1" t="s">
        <v>24</v>
      </c>
      <c r="G238" s="1" t="s">
        <v>44</v>
      </c>
      <c r="H238" s="1" t="s">
        <v>399</v>
      </c>
      <c r="I238" s="1" t="s">
        <v>19</v>
      </c>
      <c r="J238" s="1" t="s">
        <v>46</v>
      </c>
      <c r="K238" s="1">
        <v>89</v>
      </c>
      <c r="L238" s="1">
        <v>30164</v>
      </c>
      <c r="M238" s="2">
        <f t="shared" si="51"/>
        <v>2684596</v>
      </c>
      <c r="N238" s="1">
        <v>410743.19</v>
      </c>
      <c r="O238" s="1">
        <f t="shared" si="52"/>
        <v>3095339.19</v>
      </c>
      <c r="P238" s="1">
        <v>5290</v>
      </c>
      <c r="Q238" s="1">
        <f t="shared" si="53"/>
        <v>3090049.19</v>
      </c>
      <c r="R238" s="1">
        <v>910959.5</v>
      </c>
      <c r="S238" s="1">
        <f t="shared" si="56"/>
        <v>364383.80000000005</v>
      </c>
      <c r="T238" s="1">
        <f t="shared" si="54"/>
        <v>546575.69999999995</v>
      </c>
      <c r="U238" s="1">
        <v>1821919</v>
      </c>
      <c r="V238" s="1">
        <f t="shared" si="50"/>
        <v>1268130.19</v>
      </c>
      <c r="W238" s="1">
        <v>3.7</v>
      </c>
    </row>
    <row r="239" spans="1:23" x14ac:dyDescent="0.25">
      <c r="A239" s="1" t="s">
        <v>152</v>
      </c>
      <c r="B239" s="1" t="s">
        <v>28</v>
      </c>
      <c r="C239" s="1" t="s">
        <v>408</v>
      </c>
      <c r="D239" s="1" t="s">
        <v>52</v>
      </c>
      <c r="E239" s="1" t="s">
        <v>23</v>
      </c>
      <c r="F239" s="1" t="s">
        <v>24</v>
      </c>
      <c r="G239" s="1" t="s">
        <v>63</v>
      </c>
      <c r="H239" s="1" t="s">
        <v>399</v>
      </c>
      <c r="I239" s="1" t="s">
        <v>19</v>
      </c>
      <c r="J239" s="1" t="s">
        <v>46</v>
      </c>
      <c r="K239" s="1">
        <v>28</v>
      </c>
      <c r="L239" s="1">
        <v>24151</v>
      </c>
      <c r="M239" s="2">
        <f t="shared" si="51"/>
        <v>676228</v>
      </c>
      <c r="N239" s="1">
        <v>111983.36</v>
      </c>
      <c r="O239" s="1">
        <f t="shared" si="52"/>
        <v>788211.36</v>
      </c>
      <c r="P239" s="1">
        <v>6583</v>
      </c>
      <c r="Q239" s="1">
        <f t="shared" si="53"/>
        <v>781628.36</v>
      </c>
      <c r="R239" s="1">
        <v>343686</v>
      </c>
      <c r="S239" s="1">
        <f t="shared" si="56"/>
        <v>91649.600000000006</v>
      </c>
      <c r="T239" s="1">
        <f t="shared" si="54"/>
        <v>22912.400000000023</v>
      </c>
      <c r="U239" s="1">
        <v>458248</v>
      </c>
      <c r="V239" s="1">
        <f t="shared" si="50"/>
        <v>323380.36</v>
      </c>
      <c r="W239" s="1">
        <v>4.5999999999999996</v>
      </c>
    </row>
    <row r="240" spans="1:23" x14ac:dyDescent="0.25">
      <c r="A240" s="1" t="s">
        <v>132</v>
      </c>
      <c r="B240" s="1" t="s">
        <v>51</v>
      </c>
      <c r="C240" s="1" t="s">
        <v>408</v>
      </c>
      <c r="D240" s="1" t="s">
        <v>74</v>
      </c>
      <c r="E240" s="1" t="s">
        <v>56</v>
      </c>
      <c r="F240" s="1" t="s">
        <v>59</v>
      </c>
      <c r="G240" s="1" t="s">
        <v>60</v>
      </c>
      <c r="H240" s="1" t="s">
        <v>399</v>
      </c>
      <c r="I240" s="1" t="s">
        <v>19</v>
      </c>
      <c r="J240" s="1" t="s">
        <v>26</v>
      </c>
      <c r="K240" s="1">
        <v>119</v>
      </c>
      <c r="L240" s="1">
        <v>4970</v>
      </c>
      <c r="M240" s="2">
        <f t="shared" si="51"/>
        <v>591430</v>
      </c>
      <c r="N240" s="1">
        <v>101134.53</v>
      </c>
      <c r="O240" s="1">
        <f t="shared" si="52"/>
        <v>692564.53</v>
      </c>
      <c r="P240" s="1">
        <v>5576</v>
      </c>
      <c r="Q240" s="1">
        <f t="shared" si="53"/>
        <v>686988.53</v>
      </c>
      <c r="R240" s="1">
        <f t="shared" ref="R240:R241" si="63">0.7*U240</f>
        <v>286801.89999999997</v>
      </c>
      <c r="S240" s="1">
        <f t="shared" si="56"/>
        <v>81943.400000000009</v>
      </c>
      <c r="T240" s="1">
        <f t="shared" si="54"/>
        <v>40971.700000000012</v>
      </c>
      <c r="U240" s="1">
        <v>409717</v>
      </c>
      <c r="V240" s="1">
        <f t="shared" si="50"/>
        <v>277271.53000000003</v>
      </c>
      <c r="W240" s="1">
        <v>4.7</v>
      </c>
    </row>
    <row r="241" spans="1:23" x14ac:dyDescent="0.25">
      <c r="A241" s="1" t="s">
        <v>236</v>
      </c>
      <c r="B241" s="1" t="s">
        <v>28</v>
      </c>
      <c r="C241" s="1" t="s">
        <v>408</v>
      </c>
      <c r="D241" s="1" t="s">
        <v>55</v>
      </c>
      <c r="E241" s="1" t="s">
        <v>56</v>
      </c>
      <c r="F241" s="1" t="s">
        <v>59</v>
      </c>
      <c r="G241" s="1" t="s">
        <v>67</v>
      </c>
      <c r="H241" s="1" t="s">
        <v>399</v>
      </c>
      <c r="I241" s="1" t="s">
        <v>19</v>
      </c>
      <c r="J241" s="1" t="s">
        <v>46</v>
      </c>
      <c r="K241" s="1">
        <v>142</v>
      </c>
      <c r="L241" s="1">
        <v>1327</v>
      </c>
      <c r="M241" s="2">
        <f t="shared" si="51"/>
        <v>188434</v>
      </c>
      <c r="N241" s="1">
        <v>33918.120000000003</v>
      </c>
      <c r="O241" s="1">
        <f t="shared" si="52"/>
        <v>222352.12</v>
      </c>
      <c r="P241" s="1">
        <v>8004</v>
      </c>
      <c r="Q241" s="1">
        <f t="shared" si="53"/>
        <v>214348.12</v>
      </c>
      <c r="R241" s="1">
        <f t="shared" si="63"/>
        <v>82999</v>
      </c>
      <c r="S241" s="1">
        <f t="shared" si="56"/>
        <v>23714</v>
      </c>
      <c r="T241" s="1">
        <f t="shared" si="54"/>
        <v>11857</v>
      </c>
      <c r="U241" s="1">
        <v>118570</v>
      </c>
      <c r="V241" s="1">
        <f t="shared" si="50"/>
        <v>95778.12</v>
      </c>
      <c r="W241" s="1">
        <v>4.7</v>
      </c>
    </row>
    <row r="242" spans="1:23" x14ac:dyDescent="0.25">
      <c r="A242" s="1" t="s">
        <v>104</v>
      </c>
      <c r="B242" s="1" t="s">
        <v>28</v>
      </c>
      <c r="C242" s="1" t="s">
        <v>408</v>
      </c>
      <c r="D242" s="1" t="s">
        <v>74</v>
      </c>
      <c r="E242" s="1" t="s">
        <v>56</v>
      </c>
      <c r="F242" s="1" t="s">
        <v>24</v>
      </c>
      <c r="G242" s="1" t="s">
        <v>119</v>
      </c>
      <c r="H242" s="1" t="s">
        <v>398</v>
      </c>
      <c r="I242" s="1" t="s">
        <v>396</v>
      </c>
      <c r="J242" s="1" t="s">
        <v>46</v>
      </c>
      <c r="K242" s="1">
        <v>112</v>
      </c>
      <c r="L242" s="1">
        <v>27285</v>
      </c>
      <c r="M242" s="2">
        <f t="shared" si="51"/>
        <v>3055920</v>
      </c>
      <c r="N242" s="1">
        <v>506060.35</v>
      </c>
      <c r="O242" s="1">
        <f t="shared" si="52"/>
        <v>3561980.35</v>
      </c>
      <c r="P242" s="1">
        <v>6757</v>
      </c>
      <c r="Q242" s="1">
        <f t="shared" si="53"/>
        <v>3555223.35</v>
      </c>
      <c r="R242" s="1">
        <v>486528</v>
      </c>
      <c r="S242" s="1">
        <f t="shared" si="56"/>
        <v>389222.40000000002</v>
      </c>
      <c r="T242" s="1">
        <f t="shared" si="54"/>
        <v>1070361.6000000001</v>
      </c>
      <c r="U242" s="1">
        <v>1946112</v>
      </c>
      <c r="V242" s="1">
        <f t="shared" si="50"/>
        <v>1609111.35</v>
      </c>
      <c r="W242" s="1">
        <v>4.2</v>
      </c>
    </row>
    <row r="243" spans="1:23" x14ac:dyDescent="0.25">
      <c r="A243" s="1" t="s">
        <v>217</v>
      </c>
      <c r="B243" s="1" t="s">
        <v>14</v>
      </c>
      <c r="C243" s="1" t="s">
        <v>408</v>
      </c>
      <c r="D243" s="1" t="s">
        <v>48</v>
      </c>
      <c r="E243" s="1" t="s">
        <v>49</v>
      </c>
      <c r="F243" s="1" t="s">
        <v>29</v>
      </c>
      <c r="G243" s="1" t="s">
        <v>97</v>
      </c>
      <c r="H243" s="1" t="s">
        <v>398</v>
      </c>
      <c r="I243" s="1" t="s">
        <v>39</v>
      </c>
      <c r="J243" s="1" t="s">
        <v>26</v>
      </c>
      <c r="K243" s="1">
        <v>42</v>
      </c>
      <c r="L243" s="1">
        <v>29165</v>
      </c>
      <c r="M243" s="2">
        <f t="shared" si="51"/>
        <v>1224930</v>
      </c>
      <c r="N243" s="1">
        <v>220487.4</v>
      </c>
      <c r="O243" s="1">
        <f t="shared" si="52"/>
        <v>1445417.4</v>
      </c>
      <c r="P243" s="1">
        <v>6225</v>
      </c>
      <c r="Q243" s="1">
        <f t="shared" si="53"/>
        <v>1439192.4</v>
      </c>
      <c r="R243" s="1">
        <v>578214</v>
      </c>
      <c r="S243" s="1">
        <f>U243*0.1</f>
        <v>77095.199999999997</v>
      </c>
      <c r="T243" s="1">
        <f t="shared" si="54"/>
        <v>115642.80000000005</v>
      </c>
      <c r="U243" s="1">
        <v>770952</v>
      </c>
      <c r="V243" s="1">
        <f t="shared" si="50"/>
        <v>668240.39999999991</v>
      </c>
      <c r="W243" s="1">
        <v>4.5999999999999996</v>
      </c>
    </row>
    <row r="244" spans="1:23" x14ac:dyDescent="0.25">
      <c r="A244" s="1" t="s">
        <v>237</v>
      </c>
      <c r="B244" s="1" t="s">
        <v>37</v>
      </c>
      <c r="C244" s="1" t="s">
        <v>408</v>
      </c>
      <c r="D244" s="1" t="s">
        <v>15</v>
      </c>
      <c r="E244" s="1" t="s">
        <v>16</v>
      </c>
      <c r="F244" s="1" t="s">
        <v>59</v>
      </c>
      <c r="G244" s="1" t="s">
        <v>121</v>
      </c>
      <c r="H244" s="1" t="s">
        <v>398</v>
      </c>
      <c r="I244" s="1" t="s">
        <v>397</v>
      </c>
      <c r="J244" s="1" t="s">
        <v>26</v>
      </c>
      <c r="K244" s="1">
        <v>155</v>
      </c>
      <c r="L244" s="1">
        <v>8693</v>
      </c>
      <c r="M244" s="2">
        <f t="shared" si="51"/>
        <v>1347415</v>
      </c>
      <c r="N244" s="1">
        <v>242534.7</v>
      </c>
      <c r="O244" s="1">
        <f t="shared" si="52"/>
        <v>1589949.7</v>
      </c>
      <c r="P244" s="1">
        <v>9708</v>
      </c>
      <c r="Q244" s="1">
        <f t="shared" si="53"/>
        <v>1580241.7</v>
      </c>
      <c r="R244" s="1">
        <f>0.7*U244</f>
        <v>657510</v>
      </c>
      <c r="S244" s="1">
        <f t="shared" si="56"/>
        <v>187860</v>
      </c>
      <c r="T244" s="1">
        <f t="shared" si="54"/>
        <v>93930</v>
      </c>
      <c r="U244" s="1">
        <v>939300</v>
      </c>
      <c r="V244" s="1">
        <f t="shared" si="50"/>
        <v>640941.69999999995</v>
      </c>
      <c r="W244" s="1">
        <v>3.6</v>
      </c>
    </row>
    <row r="245" spans="1:23" x14ac:dyDescent="0.25">
      <c r="A245" s="1" t="s">
        <v>125</v>
      </c>
      <c r="B245" s="1" t="s">
        <v>14</v>
      </c>
      <c r="C245" s="1" t="s">
        <v>408</v>
      </c>
      <c r="D245" s="1" t="s">
        <v>62</v>
      </c>
      <c r="E245" s="1" t="s">
        <v>43</v>
      </c>
      <c r="F245" s="1" t="s">
        <v>17</v>
      </c>
      <c r="G245" s="1" t="s">
        <v>35</v>
      </c>
      <c r="H245" s="1" t="s">
        <v>398</v>
      </c>
      <c r="I245" s="1" t="s">
        <v>395</v>
      </c>
      <c r="J245" s="1" t="s">
        <v>26</v>
      </c>
      <c r="K245" s="1">
        <v>150</v>
      </c>
      <c r="L245" s="1">
        <v>31910</v>
      </c>
      <c r="M245" s="2">
        <f t="shared" si="51"/>
        <v>4786500</v>
      </c>
      <c r="N245" s="1">
        <v>792644.4</v>
      </c>
      <c r="O245" s="1">
        <f t="shared" si="52"/>
        <v>5579144.4000000004</v>
      </c>
      <c r="P245" s="1">
        <v>7312</v>
      </c>
      <c r="Q245" s="1">
        <f t="shared" si="53"/>
        <v>5571832.4000000004</v>
      </c>
      <c r="R245" s="1">
        <f t="shared" ref="R245:R248" si="64">0.62*U245</f>
        <v>1871811</v>
      </c>
      <c r="S245" s="1">
        <f t="shared" si="56"/>
        <v>603810</v>
      </c>
      <c r="T245" s="1">
        <f t="shared" si="54"/>
        <v>543429</v>
      </c>
      <c r="U245" s="1">
        <v>3019050</v>
      </c>
      <c r="V245" s="1">
        <f t="shared" si="50"/>
        <v>2552782.4000000004</v>
      </c>
      <c r="W245" s="1">
        <v>3.9</v>
      </c>
    </row>
    <row r="246" spans="1:23" x14ac:dyDescent="0.25">
      <c r="A246" s="1" t="s">
        <v>228</v>
      </c>
      <c r="B246" s="1" t="s">
        <v>34</v>
      </c>
      <c r="C246" s="1" t="s">
        <v>408</v>
      </c>
      <c r="D246" s="1" t="s">
        <v>52</v>
      </c>
      <c r="E246" s="1" t="s">
        <v>23</v>
      </c>
      <c r="F246" s="1" t="s">
        <v>17</v>
      </c>
      <c r="G246" s="1" t="s">
        <v>75</v>
      </c>
      <c r="H246" s="1" t="s">
        <v>398</v>
      </c>
      <c r="I246" s="1" t="s">
        <v>19</v>
      </c>
      <c r="J246" s="1" t="s">
        <v>46</v>
      </c>
      <c r="K246" s="1">
        <v>148</v>
      </c>
      <c r="L246" s="1">
        <v>8144</v>
      </c>
      <c r="M246" s="2">
        <f t="shared" si="51"/>
        <v>1205312</v>
      </c>
      <c r="N246" s="1">
        <v>190921.42</v>
      </c>
      <c r="O246" s="1">
        <f t="shared" si="52"/>
        <v>1396233.42</v>
      </c>
      <c r="P246" s="1">
        <v>8612</v>
      </c>
      <c r="Q246" s="1">
        <f t="shared" si="53"/>
        <v>1387621.42</v>
      </c>
      <c r="R246" s="1">
        <f t="shared" si="64"/>
        <v>601119.76</v>
      </c>
      <c r="S246" s="1">
        <f t="shared" si="56"/>
        <v>193909.6</v>
      </c>
      <c r="T246" s="1">
        <f t="shared" si="54"/>
        <v>174518.64</v>
      </c>
      <c r="U246" s="1">
        <v>969548</v>
      </c>
      <c r="V246" s="1">
        <f t="shared" si="50"/>
        <v>418073.41999999993</v>
      </c>
      <c r="W246" s="1">
        <v>4.2</v>
      </c>
    </row>
    <row r="247" spans="1:23" x14ac:dyDescent="0.25">
      <c r="A247" s="1" t="s">
        <v>146</v>
      </c>
      <c r="B247" s="1" t="s">
        <v>21</v>
      </c>
      <c r="C247" s="1" t="s">
        <v>408</v>
      </c>
      <c r="D247" s="1" t="s">
        <v>42</v>
      </c>
      <c r="E247" s="1" t="s">
        <v>43</v>
      </c>
      <c r="F247" s="1" t="s">
        <v>17</v>
      </c>
      <c r="G247" s="1" t="s">
        <v>35</v>
      </c>
      <c r="H247" s="1" t="s">
        <v>398</v>
      </c>
      <c r="I247" s="1" t="s">
        <v>396</v>
      </c>
      <c r="J247" s="1" t="s">
        <v>46</v>
      </c>
      <c r="K247" s="1">
        <v>115</v>
      </c>
      <c r="L247" s="1">
        <v>36664</v>
      </c>
      <c r="M247" s="2">
        <f t="shared" si="51"/>
        <v>4216360</v>
      </c>
      <c r="N247" s="1">
        <v>645103.07999999996</v>
      </c>
      <c r="O247" s="1">
        <f t="shared" si="52"/>
        <v>4861463.08</v>
      </c>
      <c r="P247" s="1">
        <v>8903</v>
      </c>
      <c r="Q247" s="1">
        <f t="shared" si="53"/>
        <v>4852560.08</v>
      </c>
      <c r="R247" s="1">
        <f t="shared" si="64"/>
        <v>1779220.2</v>
      </c>
      <c r="S247" s="1">
        <f t="shared" si="56"/>
        <v>573942</v>
      </c>
      <c r="T247" s="1">
        <f t="shared" si="54"/>
        <v>516547.80000000005</v>
      </c>
      <c r="U247" s="1">
        <v>2869710</v>
      </c>
      <c r="V247" s="1">
        <f t="shared" si="50"/>
        <v>1982850.08</v>
      </c>
      <c r="W247" s="1">
        <v>4</v>
      </c>
    </row>
    <row r="248" spans="1:23" x14ac:dyDescent="0.25">
      <c r="A248" s="1" t="s">
        <v>217</v>
      </c>
      <c r="B248" s="1" t="s">
        <v>77</v>
      </c>
      <c r="C248" s="1" t="s">
        <v>408</v>
      </c>
      <c r="D248" s="1" t="s">
        <v>78</v>
      </c>
      <c r="E248" s="1" t="s">
        <v>49</v>
      </c>
      <c r="F248" s="1" t="s">
        <v>17</v>
      </c>
      <c r="G248" s="1" t="s">
        <v>38</v>
      </c>
      <c r="H248" s="1" t="s">
        <v>398</v>
      </c>
      <c r="I248" s="1" t="s">
        <v>19</v>
      </c>
      <c r="J248" s="1" t="s">
        <v>26</v>
      </c>
      <c r="K248" s="1">
        <v>70</v>
      </c>
      <c r="L248" s="1">
        <v>17942</v>
      </c>
      <c r="M248" s="2">
        <f t="shared" si="51"/>
        <v>1255940</v>
      </c>
      <c r="N248" s="1">
        <v>207983.66</v>
      </c>
      <c r="O248" s="1">
        <f t="shared" si="52"/>
        <v>1463923.66</v>
      </c>
      <c r="P248" s="1">
        <v>6870</v>
      </c>
      <c r="Q248" s="1">
        <f t="shared" si="53"/>
        <v>1457053.66</v>
      </c>
      <c r="R248" s="1">
        <f t="shared" si="64"/>
        <v>585726.4</v>
      </c>
      <c r="S248" s="1">
        <f t="shared" si="56"/>
        <v>188944</v>
      </c>
      <c r="T248" s="1">
        <f t="shared" si="54"/>
        <v>170049.59999999998</v>
      </c>
      <c r="U248" s="1">
        <v>944720</v>
      </c>
      <c r="V248" s="1">
        <f t="shared" si="50"/>
        <v>512333.65999999992</v>
      </c>
      <c r="W248" s="1">
        <v>4.4000000000000004</v>
      </c>
    </row>
    <row r="249" spans="1:23" x14ac:dyDescent="0.25">
      <c r="A249" s="1" t="s">
        <v>162</v>
      </c>
      <c r="B249" s="1" t="s">
        <v>51</v>
      </c>
      <c r="C249" s="1" t="s">
        <v>408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399</v>
      </c>
      <c r="I249" s="1" t="s">
        <v>19</v>
      </c>
      <c r="J249" s="1" t="s">
        <v>46</v>
      </c>
      <c r="K249" s="1">
        <v>123</v>
      </c>
      <c r="L249" s="1">
        <v>6315</v>
      </c>
      <c r="M249" s="2">
        <f t="shared" si="51"/>
        <v>776745</v>
      </c>
      <c r="N249" s="1">
        <v>139814.1</v>
      </c>
      <c r="O249" s="1">
        <f t="shared" si="52"/>
        <v>916559.1</v>
      </c>
      <c r="P249" s="1">
        <v>6999</v>
      </c>
      <c r="Q249" s="1">
        <f t="shared" si="53"/>
        <v>909560.1</v>
      </c>
      <c r="R249" s="1">
        <v>260883</v>
      </c>
      <c r="S249" s="1">
        <f t="shared" si="56"/>
        <v>104353.20000000001</v>
      </c>
      <c r="T249" s="1">
        <f t="shared" si="54"/>
        <v>156529.79999999999</v>
      </c>
      <c r="U249" s="1">
        <v>521766</v>
      </c>
      <c r="V249" s="1">
        <f t="shared" si="50"/>
        <v>387794.1</v>
      </c>
      <c r="W249" s="1">
        <v>4.0999999999999996</v>
      </c>
    </row>
    <row r="250" spans="1:23" x14ac:dyDescent="0.25">
      <c r="A250" s="1" t="s">
        <v>171</v>
      </c>
      <c r="B250" s="1" t="s">
        <v>14</v>
      </c>
      <c r="C250" s="1" t="s">
        <v>408</v>
      </c>
      <c r="D250" s="1" t="s">
        <v>48</v>
      </c>
      <c r="E250" s="1" t="s">
        <v>49</v>
      </c>
      <c r="F250" s="1" t="s">
        <v>17</v>
      </c>
      <c r="G250" s="1" t="s">
        <v>38</v>
      </c>
      <c r="H250" s="1" t="s">
        <v>398</v>
      </c>
      <c r="I250" s="1" t="s">
        <v>397</v>
      </c>
      <c r="J250" s="1" t="s">
        <v>46</v>
      </c>
      <c r="K250" s="1">
        <v>195</v>
      </c>
      <c r="L250" s="1">
        <v>38505</v>
      </c>
      <c r="M250" s="2">
        <f t="shared" si="51"/>
        <v>7508475</v>
      </c>
      <c r="N250" s="1">
        <v>1243403.46</v>
      </c>
      <c r="O250" s="1">
        <f t="shared" si="52"/>
        <v>8751878.4600000009</v>
      </c>
      <c r="P250" s="1">
        <v>9568</v>
      </c>
      <c r="Q250" s="1">
        <f t="shared" si="53"/>
        <v>8742310.4600000009</v>
      </c>
      <c r="R250" s="1">
        <f>0.62*U250</f>
        <v>2952136.2</v>
      </c>
      <c r="S250" s="1">
        <f>U250*0.2</f>
        <v>952302</v>
      </c>
      <c r="T250" s="1">
        <f t="shared" si="54"/>
        <v>857071.79999999981</v>
      </c>
      <c r="U250" s="1">
        <v>4761510</v>
      </c>
      <c r="V250" s="1">
        <f t="shared" si="50"/>
        <v>3980800.4600000009</v>
      </c>
      <c r="W250" s="1">
        <v>3.9</v>
      </c>
    </row>
    <row r="251" spans="1:23" x14ac:dyDescent="0.25">
      <c r="A251" s="1" t="s">
        <v>238</v>
      </c>
      <c r="B251" s="1" t="s">
        <v>58</v>
      </c>
      <c r="C251" s="1" t="s">
        <v>408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398</v>
      </c>
      <c r="I251" s="1" t="s">
        <v>395</v>
      </c>
      <c r="J251" s="1" t="s">
        <v>46</v>
      </c>
      <c r="K251" s="1">
        <v>158</v>
      </c>
      <c r="L251" s="1">
        <v>19080</v>
      </c>
      <c r="M251" s="2">
        <f t="shared" si="51"/>
        <v>3014640</v>
      </c>
      <c r="N251" s="1">
        <v>499224.38</v>
      </c>
      <c r="O251" s="1">
        <f t="shared" si="52"/>
        <v>3513864.38</v>
      </c>
      <c r="P251" s="1">
        <v>7564</v>
      </c>
      <c r="Q251" s="1">
        <f t="shared" si="53"/>
        <v>3506300.38</v>
      </c>
      <c r="R251" s="1">
        <v>1062155</v>
      </c>
      <c r="S251" s="1">
        <f t="shared" si="56"/>
        <v>424862</v>
      </c>
      <c r="T251" s="1">
        <f t="shared" si="54"/>
        <v>637293</v>
      </c>
      <c r="U251" s="1">
        <v>2124310</v>
      </c>
      <c r="V251" s="1">
        <f t="shared" si="50"/>
        <v>1381990.38</v>
      </c>
      <c r="W251" s="1">
        <v>4.3</v>
      </c>
    </row>
    <row r="252" spans="1:23" x14ac:dyDescent="0.25">
      <c r="A252" s="1" t="s">
        <v>169</v>
      </c>
      <c r="B252" s="1" t="s">
        <v>51</v>
      </c>
      <c r="C252" s="1" t="s">
        <v>408</v>
      </c>
      <c r="D252" s="1" t="s">
        <v>22</v>
      </c>
      <c r="E252" s="1" t="s">
        <v>23</v>
      </c>
      <c r="F252" s="1" t="s">
        <v>29</v>
      </c>
      <c r="G252" s="1" t="s">
        <v>91</v>
      </c>
      <c r="H252" s="1" t="s">
        <v>398</v>
      </c>
      <c r="I252" s="1" t="s">
        <v>39</v>
      </c>
      <c r="J252" s="1" t="s">
        <v>46</v>
      </c>
      <c r="K252" s="1">
        <v>19</v>
      </c>
      <c r="L252" s="1">
        <v>22638</v>
      </c>
      <c r="M252" s="2">
        <f t="shared" si="51"/>
        <v>430122</v>
      </c>
      <c r="N252" s="1">
        <v>77421.960000000006</v>
      </c>
      <c r="O252" s="1">
        <f t="shared" si="52"/>
        <v>507543.96</v>
      </c>
      <c r="P252" s="1">
        <v>5152</v>
      </c>
      <c r="Q252" s="1">
        <f t="shared" si="53"/>
        <v>502391.96</v>
      </c>
      <c r="R252" s="1">
        <v>215360.25</v>
      </c>
      <c r="S252" s="1">
        <f>U252*0.1</f>
        <v>28714.7</v>
      </c>
      <c r="T252" s="1">
        <f t="shared" si="54"/>
        <v>43072.049999999988</v>
      </c>
      <c r="U252" s="1">
        <v>287147</v>
      </c>
      <c r="V252" s="1">
        <f t="shared" si="50"/>
        <v>215244.96000000002</v>
      </c>
      <c r="W252" s="1">
        <v>5</v>
      </c>
    </row>
    <row r="253" spans="1:23" x14ac:dyDescent="0.25">
      <c r="A253" s="1" t="s">
        <v>33</v>
      </c>
      <c r="B253" s="1" t="s">
        <v>51</v>
      </c>
      <c r="C253" s="1" t="s">
        <v>408</v>
      </c>
      <c r="D253" s="1" t="s">
        <v>42</v>
      </c>
      <c r="E253" s="1" t="s">
        <v>43</v>
      </c>
      <c r="F253" s="1" t="s">
        <v>24</v>
      </c>
      <c r="G253" s="1" t="s">
        <v>25</v>
      </c>
      <c r="H253" s="1" t="s">
        <v>398</v>
      </c>
      <c r="I253" s="1" t="s">
        <v>395</v>
      </c>
      <c r="J253" s="1" t="s">
        <v>26</v>
      </c>
      <c r="K253" s="1">
        <v>31</v>
      </c>
      <c r="L253" s="1">
        <v>17136</v>
      </c>
      <c r="M253" s="2">
        <f t="shared" si="51"/>
        <v>531216</v>
      </c>
      <c r="N253" s="1">
        <v>84144.61</v>
      </c>
      <c r="O253" s="1">
        <f t="shared" si="52"/>
        <v>615360.61</v>
      </c>
      <c r="P253" s="1">
        <v>8546</v>
      </c>
      <c r="Q253" s="1">
        <f t="shared" si="53"/>
        <v>606814.61</v>
      </c>
      <c r="R253" s="1">
        <v>281441.25</v>
      </c>
      <c r="S253" s="1">
        <f t="shared" si="56"/>
        <v>75051</v>
      </c>
      <c r="T253" s="1">
        <f t="shared" si="54"/>
        <v>18762.75</v>
      </c>
      <c r="U253" s="1">
        <v>375255</v>
      </c>
      <c r="V253" s="1">
        <f t="shared" si="50"/>
        <v>231559.61</v>
      </c>
      <c r="W253" s="1">
        <v>4.3</v>
      </c>
    </row>
    <row r="254" spans="1:23" x14ac:dyDescent="0.25">
      <c r="A254" s="1" t="s">
        <v>202</v>
      </c>
      <c r="B254" s="1" t="s">
        <v>77</v>
      </c>
      <c r="C254" s="1" t="s">
        <v>408</v>
      </c>
      <c r="D254" s="1" t="s">
        <v>15</v>
      </c>
      <c r="E254" s="1" t="s">
        <v>16</v>
      </c>
      <c r="F254" s="1" t="s">
        <v>17</v>
      </c>
      <c r="G254" s="1" t="s">
        <v>38</v>
      </c>
      <c r="H254" s="1" t="s">
        <v>399</v>
      </c>
      <c r="I254" s="1" t="s">
        <v>39</v>
      </c>
      <c r="J254" s="1" t="s">
        <v>26</v>
      </c>
      <c r="K254" s="1">
        <v>145</v>
      </c>
      <c r="L254" s="1">
        <v>13665</v>
      </c>
      <c r="M254" s="2">
        <f t="shared" si="51"/>
        <v>1981425</v>
      </c>
      <c r="N254" s="1">
        <v>328123.98</v>
      </c>
      <c r="O254" s="1">
        <f t="shared" si="52"/>
        <v>2309548.98</v>
      </c>
      <c r="P254" s="1">
        <v>6943</v>
      </c>
      <c r="Q254" s="1">
        <f t="shared" si="53"/>
        <v>2302605.98</v>
      </c>
      <c r="R254" s="1">
        <f t="shared" ref="R254:R255" si="65">0.62*U254</f>
        <v>1007419.4</v>
      </c>
      <c r="S254" s="1">
        <f t="shared" si="56"/>
        <v>324974</v>
      </c>
      <c r="T254" s="1">
        <f t="shared" si="54"/>
        <v>292476.59999999998</v>
      </c>
      <c r="U254" s="1">
        <v>1624870</v>
      </c>
      <c r="V254" s="1">
        <f t="shared" si="50"/>
        <v>677735.98</v>
      </c>
      <c r="W254" s="1">
        <v>4.0999999999999996</v>
      </c>
    </row>
    <row r="255" spans="1:23" x14ac:dyDescent="0.25">
      <c r="A255" s="1" t="s">
        <v>239</v>
      </c>
      <c r="B255" s="1" t="s">
        <v>14</v>
      </c>
      <c r="C255" s="1" t="s">
        <v>408</v>
      </c>
      <c r="D255" s="1" t="s">
        <v>62</v>
      </c>
      <c r="E255" s="1" t="s">
        <v>43</v>
      </c>
      <c r="F255" s="1" t="s">
        <v>17</v>
      </c>
      <c r="G255" s="1" t="s">
        <v>72</v>
      </c>
      <c r="H255" s="1" t="s">
        <v>398</v>
      </c>
      <c r="I255" s="1" t="s">
        <v>39</v>
      </c>
      <c r="J255" s="1" t="s">
        <v>26</v>
      </c>
      <c r="K255" s="1">
        <v>31</v>
      </c>
      <c r="L255" s="1">
        <v>12908</v>
      </c>
      <c r="M255" s="2">
        <f t="shared" si="51"/>
        <v>400148</v>
      </c>
      <c r="N255" s="1">
        <v>66264.509999999995</v>
      </c>
      <c r="O255" s="1">
        <f t="shared" si="52"/>
        <v>466412.51</v>
      </c>
      <c r="P255" s="1">
        <v>7131</v>
      </c>
      <c r="Q255" s="1">
        <f t="shared" si="53"/>
        <v>459281.51</v>
      </c>
      <c r="R255" s="1">
        <f t="shared" si="65"/>
        <v>156566.12</v>
      </c>
      <c r="S255" s="1">
        <f t="shared" si="56"/>
        <v>50505.200000000004</v>
      </c>
      <c r="T255" s="1">
        <f t="shared" si="54"/>
        <v>45454.679999999993</v>
      </c>
      <c r="U255" s="1">
        <v>252526</v>
      </c>
      <c r="V255" s="1">
        <f t="shared" si="50"/>
        <v>206755.51</v>
      </c>
      <c r="W255" s="1">
        <v>4.2</v>
      </c>
    </row>
    <row r="256" spans="1:23" x14ac:dyDescent="0.25">
      <c r="A256" s="1" t="s">
        <v>152</v>
      </c>
      <c r="B256" s="1" t="s">
        <v>28</v>
      </c>
      <c r="C256" s="1" t="s">
        <v>408</v>
      </c>
      <c r="D256" s="1" t="s">
        <v>15</v>
      </c>
      <c r="E256" s="1" t="s">
        <v>16</v>
      </c>
      <c r="F256" s="1" t="s">
        <v>29</v>
      </c>
      <c r="G256" s="1" t="s">
        <v>91</v>
      </c>
      <c r="H256" s="1" t="s">
        <v>399</v>
      </c>
      <c r="I256" s="1" t="s">
        <v>19</v>
      </c>
      <c r="J256" s="1" t="s">
        <v>26</v>
      </c>
      <c r="K256" s="1">
        <v>169</v>
      </c>
      <c r="L256" s="1">
        <v>12444</v>
      </c>
      <c r="M256" s="2">
        <f t="shared" si="51"/>
        <v>2103036</v>
      </c>
      <c r="N256" s="1">
        <v>333120.90000000002</v>
      </c>
      <c r="O256" s="1">
        <f t="shared" si="52"/>
        <v>2436156.9</v>
      </c>
      <c r="P256" s="1">
        <v>6877</v>
      </c>
      <c r="Q256" s="1">
        <f t="shared" si="53"/>
        <v>2429279.9</v>
      </c>
      <c r="R256" s="1">
        <v>1089543</v>
      </c>
      <c r="S256" s="1">
        <f t="shared" ref="S256:S257" si="66">U256*0.1</f>
        <v>145272.4</v>
      </c>
      <c r="T256" s="1">
        <f t="shared" si="54"/>
        <v>217908.60000000009</v>
      </c>
      <c r="U256" s="1">
        <v>1452724</v>
      </c>
      <c r="V256" s="1">
        <f t="shared" si="50"/>
        <v>976555.89999999991</v>
      </c>
      <c r="W256" s="1">
        <v>4.9000000000000004</v>
      </c>
    </row>
    <row r="257" spans="1:23" x14ac:dyDescent="0.25">
      <c r="A257" s="1" t="s">
        <v>215</v>
      </c>
      <c r="B257" s="1" t="s">
        <v>21</v>
      </c>
      <c r="C257" s="1" t="s">
        <v>408</v>
      </c>
      <c r="D257" s="1" t="s">
        <v>74</v>
      </c>
      <c r="E257" s="1" t="s">
        <v>56</v>
      </c>
      <c r="F257" s="1" t="s">
        <v>29</v>
      </c>
      <c r="G257" s="1" t="s">
        <v>91</v>
      </c>
      <c r="H257" s="1" t="s">
        <v>399</v>
      </c>
      <c r="I257" s="1" t="s">
        <v>396</v>
      </c>
      <c r="J257" s="1" t="s">
        <v>26</v>
      </c>
      <c r="K257" s="1">
        <v>188</v>
      </c>
      <c r="L257" s="1">
        <v>1157</v>
      </c>
      <c r="M257" s="2">
        <f t="shared" si="51"/>
        <v>217516</v>
      </c>
      <c r="N257" s="1">
        <v>36020.65</v>
      </c>
      <c r="O257" s="1">
        <f t="shared" si="52"/>
        <v>253536.65</v>
      </c>
      <c r="P257" s="1">
        <v>7953</v>
      </c>
      <c r="Q257" s="1">
        <f t="shared" si="53"/>
        <v>245583.65</v>
      </c>
      <c r="R257" s="1">
        <v>134937</v>
      </c>
      <c r="S257" s="1">
        <f t="shared" si="66"/>
        <v>17991.600000000002</v>
      </c>
      <c r="T257" s="1">
        <f t="shared" si="54"/>
        <v>26987.399999999994</v>
      </c>
      <c r="U257" s="1">
        <v>179916</v>
      </c>
      <c r="V257" s="1">
        <f t="shared" si="50"/>
        <v>65667.649999999994</v>
      </c>
      <c r="W257" s="1">
        <v>4</v>
      </c>
    </row>
    <row r="258" spans="1:23" x14ac:dyDescent="0.25">
      <c r="A258" s="1" t="s">
        <v>240</v>
      </c>
      <c r="B258" s="1" t="s">
        <v>58</v>
      </c>
      <c r="C258" s="1" t="s">
        <v>408</v>
      </c>
      <c r="D258" s="1" t="s">
        <v>48</v>
      </c>
      <c r="E258" s="1" t="s">
        <v>49</v>
      </c>
      <c r="F258" s="1" t="s">
        <v>59</v>
      </c>
      <c r="G258" s="1" t="s">
        <v>85</v>
      </c>
      <c r="H258" s="1" t="s">
        <v>398</v>
      </c>
      <c r="I258" s="1" t="s">
        <v>19</v>
      </c>
      <c r="J258" s="1" t="s">
        <v>26</v>
      </c>
      <c r="K258" s="1">
        <v>101</v>
      </c>
      <c r="L258" s="1">
        <v>11302</v>
      </c>
      <c r="M258" s="2">
        <f t="shared" si="51"/>
        <v>1141502</v>
      </c>
      <c r="N258" s="1">
        <v>174649.81</v>
      </c>
      <c r="O258" s="1">
        <f t="shared" si="52"/>
        <v>1316151.81</v>
      </c>
      <c r="P258" s="1">
        <v>6556</v>
      </c>
      <c r="Q258" s="1">
        <f t="shared" si="53"/>
        <v>1309595.81</v>
      </c>
      <c r="R258" s="1">
        <f t="shared" ref="R258:R259" si="67">0.7*U258</f>
        <v>538734</v>
      </c>
      <c r="S258" s="1">
        <f t="shared" si="56"/>
        <v>153924</v>
      </c>
      <c r="T258" s="1">
        <f t="shared" si="54"/>
        <v>76962</v>
      </c>
      <c r="U258" s="1">
        <v>769620</v>
      </c>
      <c r="V258" s="1">
        <f t="shared" si="50"/>
        <v>539975.81000000006</v>
      </c>
      <c r="W258" s="1">
        <v>4.5</v>
      </c>
    </row>
    <row r="259" spans="1:23" x14ac:dyDescent="0.25">
      <c r="A259" s="1" t="s">
        <v>225</v>
      </c>
      <c r="B259" s="1" t="s">
        <v>58</v>
      </c>
      <c r="C259" s="1" t="s">
        <v>408</v>
      </c>
      <c r="D259" s="1" t="s">
        <v>74</v>
      </c>
      <c r="E259" s="1" t="s">
        <v>56</v>
      </c>
      <c r="F259" s="1" t="s">
        <v>59</v>
      </c>
      <c r="G259" s="1" t="s">
        <v>103</v>
      </c>
      <c r="H259" s="1" t="s">
        <v>398</v>
      </c>
      <c r="I259" s="1" t="s">
        <v>19</v>
      </c>
      <c r="J259" s="1" t="s">
        <v>46</v>
      </c>
      <c r="K259" s="1">
        <v>27</v>
      </c>
      <c r="L259" s="1">
        <v>2891</v>
      </c>
      <c r="M259" s="2">
        <f t="shared" si="51"/>
        <v>78057</v>
      </c>
      <c r="N259" s="1">
        <v>11942.72</v>
      </c>
      <c r="O259" s="1">
        <f t="shared" si="52"/>
        <v>89999.72</v>
      </c>
      <c r="P259" s="1">
        <v>6510</v>
      </c>
      <c r="Q259" s="1">
        <f t="shared" si="53"/>
        <v>83489.72</v>
      </c>
      <c r="R259" s="1">
        <f t="shared" si="67"/>
        <v>35324.1</v>
      </c>
      <c r="S259" s="1">
        <f t="shared" si="56"/>
        <v>10092.6</v>
      </c>
      <c r="T259" s="1">
        <f t="shared" si="54"/>
        <v>5046.3000000000029</v>
      </c>
      <c r="U259" s="1">
        <v>50463</v>
      </c>
      <c r="V259" s="1">
        <f t="shared" si="50"/>
        <v>33026.720000000001</v>
      </c>
      <c r="W259" s="1">
        <v>4.8</v>
      </c>
    </row>
    <row r="260" spans="1:23" x14ac:dyDescent="0.25">
      <c r="A260" s="1" t="s">
        <v>130</v>
      </c>
      <c r="B260" s="1" t="s">
        <v>51</v>
      </c>
      <c r="C260" s="1" t="s">
        <v>408</v>
      </c>
      <c r="D260" s="1" t="s">
        <v>15</v>
      </c>
      <c r="E260" s="1" t="s">
        <v>16</v>
      </c>
      <c r="F260" s="1" t="s">
        <v>24</v>
      </c>
      <c r="G260" s="1" t="s">
        <v>63</v>
      </c>
      <c r="H260" s="1" t="s">
        <v>398</v>
      </c>
      <c r="I260" s="1" t="s">
        <v>397</v>
      </c>
      <c r="J260" s="1" t="s">
        <v>26</v>
      </c>
      <c r="K260" s="1">
        <v>91</v>
      </c>
      <c r="L260" s="1">
        <v>16709</v>
      </c>
      <c r="M260" s="2">
        <f t="shared" si="51"/>
        <v>1520519</v>
      </c>
      <c r="N260" s="1">
        <v>260008.75</v>
      </c>
      <c r="O260" s="1">
        <f t="shared" si="52"/>
        <v>1780527.75</v>
      </c>
      <c r="P260" s="1">
        <v>7177</v>
      </c>
      <c r="Q260" s="1">
        <f t="shared" si="53"/>
        <v>1773350.75</v>
      </c>
      <c r="R260" s="1">
        <v>759690.75</v>
      </c>
      <c r="S260" s="1">
        <f t="shared" si="56"/>
        <v>202584.2</v>
      </c>
      <c r="T260" s="1">
        <f t="shared" si="54"/>
        <v>50646.050000000047</v>
      </c>
      <c r="U260" s="1">
        <v>1012921</v>
      </c>
      <c r="V260" s="1">
        <f t="shared" ref="V260:V323" si="68">Q260-U260</f>
        <v>760429.75</v>
      </c>
      <c r="W260" s="1">
        <v>3.9</v>
      </c>
    </row>
    <row r="261" spans="1:23" x14ac:dyDescent="0.25">
      <c r="A261" s="1" t="s">
        <v>50</v>
      </c>
      <c r="B261" s="1" t="s">
        <v>58</v>
      </c>
      <c r="C261" s="1" t="s">
        <v>408</v>
      </c>
      <c r="D261" s="1" t="s">
        <v>42</v>
      </c>
      <c r="E261" s="1" t="s">
        <v>43</v>
      </c>
      <c r="F261" s="1" t="s">
        <v>29</v>
      </c>
      <c r="G261" s="1" t="s">
        <v>91</v>
      </c>
      <c r="H261" s="1" t="s">
        <v>399</v>
      </c>
      <c r="I261" s="1" t="s">
        <v>397</v>
      </c>
      <c r="J261" s="1" t="s">
        <v>26</v>
      </c>
      <c r="K261" s="1">
        <v>101</v>
      </c>
      <c r="L261" s="1">
        <v>2601</v>
      </c>
      <c r="M261" s="2">
        <f t="shared" ref="M261:M324" si="69">K261*L261</f>
        <v>262701</v>
      </c>
      <c r="N261" s="1">
        <v>40193.25</v>
      </c>
      <c r="O261" s="1">
        <f t="shared" ref="O261:O324" si="70">M261+N261</f>
        <v>302894.25</v>
      </c>
      <c r="P261" s="1">
        <v>9436</v>
      </c>
      <c r="Q261" s="1">
        <f t="shared" ref="Q261:Q324" si="71">O261-P261</f>
        <v>293458.25</v>
      </c>
      <c r="R261" s="1">
        <v>105848</v>
      </c>
      <c r="S261" s="1">
        <f>U261*0.1</f>
        <v>21169.600000000002</v>
      </c>
      <c r="T261" s="1">
        <f t="shared" ref="T261:T324" si="72">U261-S261-R261</f>
        <v>84678.399999999994</v>
      </c>
      <c r="U261" s="1">
        <v>211696</v>
      </c>
      <c r="V261" s="1">
        <f t="shared" si="68"/>
        <v>81762.25</v>
      </c>
      <c r="W261" s="1">
        <v>4.2</v>
      </c>
    </row>
    <row r="262" spans="1:23" x14ac:dyDescent="0.25">
      <c r="A262" s="1" t="s">
        <v>241</v>
      </c>
      <c r="B262" s="1" t="s">
        <v>34</v>
      </c>
      <c r="C262" s="1" t="s">
        <v>408</v>
      </c>
      <c r="D262" s="1" t="s">
        <v>22</v>
      </c>
      <c r="E262" s="1" t="s">
        <v>23</v>
      </c>
      <c r="F262" s="1" t="s">
        <v>59</v>
      </c>
      <c r="G262" s="1" t="s">
        <v>103</v>
      </c>
      <c r="H262" s="1" t="s">
        <v>399</v>
      </c>
      <c r="I262" s="1" t="s">
        <v>395</v>
      </c>
      <c r="J262" s="1" t="s">
        <v>46</v>
      </c>
      <c r="K262" s="1">
        <v>106</v>
      </c>
      <c r="L262" s="1">
        <v>28298</v>
      </c>
      <c r="M262" s="2">
        <f t="shared" si="69"/>
        <v>2999588</v>
      </c>
      <c r="N262" s="1">
        <v>458936.96</v>
      </c>
      <c r="O262" s="1">
        <f t="shared" si="70"/>
        <v>3458524.96</v>
      </c>
      <c r="P262" s="1">
        <v>7385</v>
      </c>
      <c r="Q262" s="1">
        <f t="shared" si="71"/>
        <v>3451139.96</v>
      </c>
      <c r="R262" s="1">
        <f>0.7*U262</f>
        <v>1461814.2</v>
      </c>
      <c r="S262" s="1">
        <f t="shared" ref="S262:S324" si="73">U262*0.2</f>
        <v>417661.2</v>
      </c>
      <c r="T262" s="1">
        <f t="shared" si="72"/>
        <v>208830.60000000009</v>
      </c>
      <c r="U262" s="1">
        <v>2088306</v>
      </c>
      <c r="V262" s="1">
        <f t="shared" si="68"/>
        <v>1362833.96</v>
      </c>
      <c r="W262" s="1">
        <v>4.9000000000000004</v>
      </c>
    </row>
    <row r="263" spans="1:23" x14ac:dyDescent="0.25">
      <c r="A263" s="1" t="s">
        <v>242</v>
      </c>
      <c r="B263" s="1" t="s">
        <v>37</v>
      </c>
      <c r="C263" s="1" t="s">
        <v>408</v>
      </c>
      <c r="D263" s="1" t="s">
        <v>74</v>
      </c>
      <c r="E263" s="1" t="s">
        <v>56</v>
      </c>
      <c r="F263" s="1" t="s">
        <v>29</v>
      </c>
      <c r="G263" s="1" t="s">
        <v>91</v>
      </c>
      <c r="H263" s="1" t="s">
        <v>399</v>
      </c>
      <c r="I263" s="1" t="s">
        <v>39</v>
      </c>
      <c r="J263" s="1" t="s">
        <v>46</v>
      </c>
      <c r="K263" s="1">
        <v>100</v>
      </c>
      <c r="L263" s="1">
        <v>22735</v>
      </c>
      <c r="M263" s="2">
        <f t="shared" si="69"/>
        <v>2273500</v>
      </c>
      <c r="N263" s="1">
        <v>388768.5</v>
      </c>
      <c r="O263" s="1">
        <f t="shared" si="70"/>
        <v>2662268.5</v>
      </c>
      <c r="P263" s="1">
        <v>5265</v>
      </c>
      <c r="Q263" s="1">
        <f t="shared" si="71"/>
        <v>2657003.5</v>
      </c>
      <c r="R263" s="1">
        <v>426725</v>
      </c>
      <c r="S263" s="1">
        <f t="shared" ref="S263:S264" si="74">U263*0.1</f>
        <v>170690</v>
      </c>
      <c r="T263" s="1">
        <f t="shared" si="72"/>
        <v>1109485</v>
      </c>
      <c r="U263" s="1">
        <v>1706900</v>
      </c>
      <c r="V263" s="1">
        <f t="shared" si="68"/>
        <v>950103.5</v>
      </c>
      <c r="W263" s="1">
        <v>3.7</v>
      </c>
    </row>
    <row r="264" spans="1:23" x14ac:dyDescent="0.25">
      <c r="A264" s="1" t="s">
        <v>176</v>
      </c>
      <c r="B264" s="1" t="s">
        <v>37</v>
      </c>
      <c r="C264" s="1" t="s">
        <v>408</v>
      </c>
      <c r="D264" s="1" t="s">
        <v>55</v>
      </c>
      <c r="E264" s="1" t="s">
        <v>56</v>
      </c>
      <c r="F264" s="1" t="s">
        <v>29</v>
      </c>
      <c r="G264" s="1" t="s">
        <v>97</v>
      </c>
      <c r="H264" s="1" t="s">
        <v>398</v>
      </c>
      <c r="I264" s="1" t="s">
        <v>19</v>
      </c>
      <c r="J264" s="1" t="s">
        <v>26</v>
      </c>
      <c r="K264" s="1">
        <v>84</v>
      </c>
      <c r="L264" s="1">
        <v>14711</v>
      </c>
      <c r="M264" s="2">
        <f t="shared" si="69"/>
        <v>1235724</v>
      </c>
      <c r="N264" s="1">
        <v>195738.68</v>
      </c>
      <c r="O264" s="1">
        <f t="shared" si="70"/>
        <v>1431462.68</v>
      </c>
      <c r="P264" s="1">
        <v>5687</v>
      </c>
      <c r="Q264" s="1">
        <f t="shared" si="71"/>
        <v>1425775.68</v>
      </c>
      <c r="R264" s="1">
        <v>494802</v>
      </c>
      <c r="S264" s="1">
        <f t="shared" si="74"/>
        <v>98960.400000000009</v>
      </c>
      <c r="T264" s="1">
        <f t="shared" si="72"/>
        <v>395841.6</v>
      </c>
      <c r="U264" s="1">
        <v>989604</v>
      </c>
      <c r="V264" s="1">
        <f t="shared" si="68"/>
        <v>436171.67999999993</v>
      </c>
      <c r="W264" s="1">
        <v>3.6</v>
      </c>
    </row>
    <row r="265" spans="1:23" x14ac:dyDescent="0.25">
      <c r="A265" s="1" t="s">
        <v>70</v>
      </c>
      <c r="B265" s="1" t="s">
        <v>69</v>
      </c>
      <c r="C265" s="1" t="s">
        <v>408</v>
      </c>
      <c r="D265" s="1" t="s">
        <v>48</v>
      </c>
      <c r="E265" s="1" t="s">
        <v>49</v>
      </c>
      <c r="F265" s="1" t="s">
        <v>17</v>
      </c>
      <c r="G265" s="1" t="s">
        <v>75</v>
      </c>
      <c r="H265" s="1" t="s">
        <v>399</v>
      </c>
      <c r="I265" s="1" t="s">
        <v>395</v>
      </c>
      <c r="J265" s="1" t="s">
        <v>46</v>
      </c>
      <c r="K265" s="1">
        <v>160</v>
      </c>
      <c r="L265" s="1">
        <v>14112</v>
      </c>
      <c r="M265" s="2">
        <f t="shared" si="69"/>
        <v>2257920</v>
      </c>
      <c r="N265" s="1">
        <v>373911.55</v>
      </c>
      <c r="O265" s="1">
        <f t="shared" si="70"/>
        <v>2631831.5499999998</v>
      </c>
      <c r="P265" s="1">
        <v>8109</v>
      </c>
      <c r="Q265" s="1">
        <f t="shared" si="71"/>
        <v>2623722.5499999998</v>
      </c>
      <c r="R265" s="1">
        <f t="shared" ref="R265:R267" si="75">0.62*U265</f>
        <v>915219.2</v>
      </c>
      <c r="S265" s="1">
        <f t="shared" ref="S265:S267" si="76">U265*0.2</f>
        <v>295232</v>
      </c>
      <c r="T265" s="1">
        <f t="shared" si="72"/>
        <v>265708.80000000005</v>
      </c>
      <c r="U265" s="1">
        <v>1476160</v>
      </c>
      <c r="V265" s="1">
        <f t="shared" si="68"/>
        <v>1147562.5499999998</v>
      </c>
      <c r="W265" s="1">
        <v>4.4000000000000004</v>
      </c>
    </row>
    <row r="266" spans="1:23" x14ac:dyDescent="0.25">
      <c r="A266" s="1" t="s">
        <v>243</v>
      </c>
      <c r="B266" s="1" t="s">
        <v>37</v>
      </c>
      <c r="C266" s="1" t="s">
        <v>408</v>
      </c>
      <c r="D266" s="1" t="s">
        <v>48</v>
      </c>
      <c r="E266" s="1" t="s">
        <v>49</v>
      </c>
      <c r="F266" s="1" t="s">
        <v>17</v>
      </c>
      <c r="G266" s="1" t="s">
        <v>35</v>
      </c>
      <c r="H266" s="1" t="s">
        <v>398</v>
      </c>
      <c r="I266" s="1" t="s">
        <v>396</v>
      </c>
      <c r="J266" s="1" t="s">
        <v>26</v>
      </c>
      <c r="K266" s="1">
        <v>42</v>
      </c>
      <c r="L266" s="1">
        <v>15302</v>
      </c>
      <c r="M266" s="2">
        <f t="shared" si="69"/>
        <v>642684</v>
      </c>
      <c r="N266" s="1">
        <v>109898.96</v>
      </c>
      <c r="O266" s="1">
        <f t="shared" si="70"/>
        <v>752582.96</v>
      </c>
      <c r="P266" s="1">
        <v>8119</v>
      </c>
      <c r="Q266" s="1">
        <f t="shared" si="71"/>
        <v>744463.96</v>
      </c>
      <c r="R266" s="1">
        <f t="shared" si="75"/>
        <v>264592.44</v>
      </c>
      <c r="S266" s="1">
        <f t="shared" si="76"/>
        <v>85352.400000000009</v>
      </c>
      <c r="T266" s="1">
        <f t="shared" si="72"/>
        <v>76817.159999999974</v>
      </c>
      <c r="U266" s="1">
        <v>426762</v>
      </c>
      <c r="V266" s="1">
        <f t="shared" si="68"/>
        <v>317701.95999999996</v>
      </c>
      <c r="W266" s="1">
        <v>5</v>
      </c>
    </row>
    <row r="267" spans="1:23" x14ac:dyDescent="0.25">
      <c r="A267" s="1" t="s">
        <v>244</v>
      </c>
      <c r="B267" s="1" t="s">
        <v>41</v>
      </c>
      <c r="C267" s="1" t="s">
        <v>408</v>
      </c>
      <c r="D267" s="1" t="s">
        <v>15</v>
      </c>
      <c r="E267" s="1" t="s">
        <v>16</v>
      </c>
      <c r="F267" s="1" t="s">
        <v>17</v>
      </c>
      <c r="G267" s="1" t="s">
        <v>18</v>
      </c>
      <c r="H267" s="1" t="s">
        <v>398</v>
      </c>
      <c r="I267" s="1" t="s">
        <v>395</v>
      </c>
      <c r="J267" s="1" t="s">
        <v>46</v>
      </c>
      <c r="K267" s="1">
        <v>72</v>
      </c>
      <c r="L267" s="1">
        <v>9710</v>
      </c>
      <c r="M267" s="2">
        <f t="shared" si="69"/>
        <v>699120</v>
      </c>
      <c r="N267" s="1">
        <v>115774.27</v>
      </c>
      <c r="O267" s="1">
        <f t="shared" si="70"/>
        <v>814894.27</v>
      </c>
      <c r="P267" s="1">
        <v>6614</v>
      </c>
      <c r="Q267" s="1">
        <f t="shared" si="71"/>
        <v>808280.27</v>
      </c>
      <c r="R267" s="1">
        <f t="shared" si="75"/>
        <v>287392.32</v>
      </c>
      <c r="S267" s="1">
        <f t="shared" si="76"/>
        <v>92707.200000000012</v>
      </c>
      <c r="T267" s="1">
        <f t="shared" si="72"/>
        <v>83436.479999999981</v>
      </c>
      <c r="U267" s="1">
        <v>463536</v>
      </c>
      <c r="V267" s="1">
        <f t="shared" si="68"/>
        <v>344744.27</v>
      </c>
      <c r="W267" s="1">
        <v>4.5</v>
      </c>
    </row>
    <row r="268" spans="1:23" x14ac:dyDescent="0.25">
      <c r="A268" s="1" t="s">
        <v>187</v>
      </c>
      <c r="B268" s="1" t="s">
        <v>32</v>
      </c>
      <c r="C268" s="1" t="s">
        <v>408</v>
      </c>
      <c r="D268" s="1" t="s">
        <v>22</v>
      </c>
      <c r="E268" s="1" t="s">
        <v>23</v>
      </c>
      <c r="F268" s="1" t="s">
        <v>59</v>
      </c>
      <c r="G268" s="1" t="s">
        <v>67</v>
      </c>
      <c r="H268" s="1" t="s">
        <v>398</v>
      </c>
      <c r="I268" s="1" t="s">
        <v>39</v>
      </c>
      <c r="J268" s="1" t="s">
        <v>26</v>
      </c>
      <c r="K268" s="1">
        <v>72</v>
      </c>
      <c r="L268" s="1">
        <v>35567</v>
      </c>
      <c r="M268" s="2">
        <f t="shared" si="69"/>
        <v>2560824</v>
      </c>
      <c r="N268" s="1">
        <v>460948.32</v>
      </c>
      <c r="O268" s="1">
        <f t="shared" si="70"/>
        <v>3021772.32</v>
      </c>
      <c r="P268" s="1">
        <v>6192</v>
      </c>
      <c r="Q268" s="1">
        <f t="shared" si="71"/>
        <v>3015580.32</v>
      </c>
      <c r="R268" s="1">
        <f t="shared" ref="R268:R269" si="77">0.7*U268</f>
        <v>1258034.3999999999</v>
      </c>
      <c r="S268" s="1">
        <f t="shared" si="73"/>
        <v>359438.4</v>
      </c>
      <c r="T268" s="1">
        <f t="shared" si="72"/>
        <v>179719.20000000019</v>
      </c>
      <c r="U268" s="1">
        <v>1797192</v>
      </c>
      <c r="V268" s="1">
        <f t="shared" si="68"/>
        <v>1218388.3199999998</v>
      </c>
      <c r="W268" s="1">
        <v>3.9</v>
      </c>
    </row>
    <row r="269" spans="1:23" x14ac:dyDescent="0.25">
      <c r="A269" s="1" t="s">
        <v>217</v>
      </c>
      <c r="B269" s="1" t="s">
        <v>28</v>
      </c>
      <c r="C269" s="1" t="s">
        <v>408</v>
      </c>
      <c r="D269" s="1" t="s">
        <v>55</v>
      </c>
      <c r="E269" s="1" t="s">
        <v>56</v>
      </c>
      <c r="F269" s="1" t="s">
        <v>59</v>
      </c>
      <c r="G269" s="1" t="s">
        <v>60</v>
      </c>
      <c r="H269" s="1" t="s">
        <v>398</v>
      </c>
      <c r="I269" s="1" t="s">
        <v>39</v>
      </c>
      <c r="J269" s="1" t="s">
        <v>46</v>
      </c>
      <c r="K269" s="1">
        <v>61</v>
      </c>
      <c r="L269" s="1">
        <v>34322</v>
      </c>
      <c r="M269" s="2">
        <f t="shared" si="69"/>
        <v>2093642</v>
      </c>
      <c r="N269" s="1">
        <v>376855.56</v>
      </c>
      <c r="O269" s="1">
        <f t="shared" si="70"/>
        <v>2470497.56</v>
      </c>
      <c r="P269" s="1">
        <v>9695</v>
      </c>
      <c r="Q269" s="1">
        <f t="shared" si="71"/>
        <v>2460802.56</v>
      </c>
      <c r="R269" s="1">
        <f t="shared" si="77"/>
        <v>1063742.3999999999</v>
      </c>
      <c r="S269" s="1">
        <f t="shared" si="73"/>
        <v>303926.40000000002</v>
      </c>
      <c r="T269" s="1">
        <f t="shared" si="72"/>
        <v>151963.20000000019</v>
      </c>
      <c r="U269" s="1">
        <v>1519632</v>
      </c>
      <c r="V269" s="1">
        <f t="shared" si="68"/>
        <v>941170.56</v>
      </c>
      <c r="W269" s="1">
        <v>3.7</v>
      </c>
    </row>
    <row r="270" spans="1:23" x14ac:dyDescent="0.25">
      <c r="A270" s="1" t="s">
        <v>236</v>
      </c>
      <c r="B270" s="1" t="s">
        <v>34</v>
      </c>
      <c r="C270" s="1" t="s">
        <v>408</v>
      </c>
      <c r="D270" s="1" t="s">
        <v>48</v>
      </c>
      <c r="E270" s="1" t="s">
        <v>49</v>
      </c>
      <c r="F270" s="1" t="s">
        <v>17</v>
      </c>
      <c r="G270" s="1" t="s">
        <v>18</v>
      </c>
      <c r="H270" s="1" t="s">
        <v>399</v>
      </c>
      <c r="I270" s="1" t="s">
        <v>395</v>
      </c>
      <c r="J270" s="1" t="s">
        <v>26</v>
      </c>
      <c r="K270" s="1">
        <v>159</v>
      </c>
      <c r="L270" s="1">
        <v>5927</v>
      </c>
      <c r="M270" s="2">
        <f t="shared" si="69"/>
        <v>942393</v>
      </c>
      <c r="N270" s="1">
        <v>161149.20000000001</v>
      </c>
      <c r="O270" s="1">
        <f t="shared" si="70"/>
        <v>1103542.2</v>
      </c>
      <c r="P270" s="1">
        <v>8093</v>
      </c>
      <c r="Q270" s="1">
        <f t="shared" si="71"/>
        <v>1095449.2</v>
      </c>
      <c r="R270" s="1">
        <f>0.62*U270</f>
        <v>471508.14</v>
      </c>
      <c r="S270" s="1">
        <f>U270*0.2</f>
        <v>152099.4</v>
      </c>
      <c r="T270" s="1">
        <f t="shared" si="72"/>
        <v>136889.45999999996</v>
      </c>
      <c r="U270" s="1">
        <v>760497</v>
      </c>
      <c r="V270" s="1">
        <f t="shared" si="68"/>
        <v>334952.19999999995</v>
      </c>
      <c r="W270" s="1">
        <v>3.7</v>
      </c>
    </row>
    <row r="271" spans="1:23" x14ac:dyDescent="0.25">
      <c r="A271" s="1" t="s">
        <v>245</v>
      </c>
      <c r="B271" s="1" t="s">
        <v>51</v>
      </c>
      <c r="C271" s="1" t="s">
        <v>408</v>
      </c>
      <c r="D271" s="1" t="s">
        <v>15</v>
      </c>
      <c r="E271" s="1" t="s">
        <v>16</v>
      </c>
      <c r="F271" s="1" t="s">
        <v>24</v>
      </c>
      <c r="G271" s="1" t="s">
        <v>143</v>
      </c>
      <c r="H271" s="1" t="s">
        <v>398</v>
      </c>
      <c r="I271" s="1" t="s">
        <v>397</v>
      </c>
      <c r="J271" s="1" t="s">
        <v>46</v>
      </c>
      <c r="K271" s="1">
        <v>113</v>
      </c>
      <c r="L271" s="1">
        <v>17365</v>
      </c>
      <c r="M271" s="2">
        <f t="shared" si="69"/>
        <v>1962245</v>
      </c>
      <c r="N271" s="1">
        <v>324947.77</v>
      </c>
      <c r="O271" s="1">
        <f t="shared" si="70"/>
        <v>2287192.77</v>
      </c>
      <c r="P271" s="1">
        <v>5791</v>
      </c>
      <c r="Q271" s="1">
        <f t="shared" si="71"/>
        <v>2281401.77</v>
      </c>
      <c r="R271" s="1">
        <v>685401.5</v>
      </c>
      <c r="S271" s="1">
        <f t="shared" si="73"/>
        <v>274160.60000000003</v>
      </c>
      <c r="T271" s="1">
        <f t="shared" si="72"/>
        <v>411240.89999999991</v>
      </c>
      <c r="U271" s="1">
        <v>1370803</v>
      </c>
      <c r="V271" s="1">
        <f t="shared" si="68"/>
        <v>910598.77</v>
      </c>
      <c r="W271" s="1">
        <v>4.3</v>
      </c>
    </row>
    <row r="272" spans="1:23" x14ac:dyDescent="0.25">
      <c r="A272" s="1" t="s">
        <v>246</v>
      </c>
      <c r="B272" s="1" t="s">
        <v>58</v>
      </c>
      <c r="C272" s="1" t="s">
        <v>408</v>
      </c>
      <c r="D272" s="1" t="s">
        <v>62</v>
      </c>
      <c r="E272" s="1" t="s">
        <v>43</v>
      </c>
      <c r="F272" s="1" t="s">
        <v>29</v>
      </c>
      <c r="G272" s="1" t="s">
        <v>97</v>
      </c>
      <c r="H272" s="1" t="s">
        <v>398</v>
      </c>
      <c r="I272" s="1" t="s">
        <v>39</v>
      </c>
      <c r="J272" s="1" t="s">
        <v>46</v>
      </c>
      <c r="K272" s="1">
        <v>145</v>
      </c>
      <c r="L272" s="1">
        <v>29072</v>
      </c>
      <c r="M272" s="2">
        <f t="shared" si="69"/>
        <v>4215440</v>
      </c>
      <c r="N272" s="1">
        <v>644962.31999999995</v>
      </c>
      <c r="O272" s="1">
        <f t="shared" si="70"/>
        <v>4860402.32</v>
      </c>
      <c r="P272" s="1">
        <v>8395</v>
      </c>
      <c r="Q272" s="1">
        <f t="shared" si="71"/>
        <v>4852007.32</v>
      </c>
      <c r="R272" s="1">
        <v>2363463.75</v>
      </c>
      <c r="S272" s="1">
        <f t="shared" ref="S272:S273" si="78">U272*0.1</f>
        <v>315128.5</v>
      </c>
      <c r="T272" s="1">
        <f t="shared" si="72"/>
        <v>472692.75</v>
      </c>
      <c r="U272" s="1">
        <v>3151285</v>
      </c>
      <c r="V272" s="1">
        <f t="shared" si="68"/>
        <v>1700722.3200000003</v>
      </c>
      <c r="W272" s="1">
        <v>4.3</v>
      </c>
    </row>
    <row r="273" spans="1:23" x14ac:dyDescent="0.25">
      <c r="A273" s="1" t="s">
        <v>79</v>
      </c>
      <c r="B273" s="1" t="s">
        <v>51</v>
      </c>
      <c r="C273" s="1" t="s">
        <v>408</v>
      </c>
      <c r="D273" s="1" t="s">
        <v>52</v>
      </c>
      <c r="E273" s="1" t="s">
        <v>23</v>
      </c>
      <c r="F273" s="1" t="s">
        <v>29</v>
      </c>
      <c r="G273" s="1" t="s">
        <v>91</v>
      </c>
      <c r="H273" s="1" t="s">
        <v>398</v>
      </c>
      <c r="I273" s="1" t="s">
        <v>397</v>
      </c>
      <c r="J273" s="1" t="s">
        <v>46</v>
      </c>
      <c r="K273" s="1">
        <v>147</v>
      </c>
      <c r="L273" s="1">
        <v>3468</v>
      </c>
      <c r="M273" s="2">
        <f t="shared" si="69"/>
        <v>509796</v>
      </c>
      <c r="N273" s="1">
        <v>91763.28</v>
      </c>
      <c r="O273" s="1">
        <f t="shared" si="70"/>
        <v>601559.28</v>
      </c>
      <c r="P273" s="1">
        <v>7668</v>
      </c>
      <c r="Q273" s="1">
        <f t="shared" si="71"/>
        <v>593891.28</v>
      </c>
      <c r="R273" s="1">
        <v>180001.5</v>
      </c>
      <c r="S273" s="1">
        <f t="shared" si="78"/>
        <v>36000.300000000003</v>
      </c>
      <c r="T273" s="1">
        <f t="shared" si="72"/>
        <v>144001.20000000001</v>
      </c>
      <c r="U273" s="1">
        <v>360003</v>
      </c>
      <c r="V273" s="1">
        <f t="shared" si="68"/>
        <v>233888.28000000003</v>
      </c>
      <c r="W273" s="1">
        <v>4.7</v>
      </c>
    </row>
    <row r="274" spans="1:23" x14ac:dyDescent="0.25">
      <c r="A274" s="1" t="s">
        <v>50</v>
      </c>
      <c r="B274" s="1" t="s">
        <v>21</v>
      </c>
      <c r="C274" s="1" t="s">
        <v>408</v>
      </c>
      <c r="D274" s="1" t="s">
        <v>22</v>
      </c>
      <c r="E274" s="1" t="s">
        <v>23</v>
      </c>
      <c r="F274" s="1" t="s">
        <v>24</v>
      </c>
      <c r="G274" s="1" t="s">
        <v>143</v>
      </c>
      <c r="H274" s="1" t="s">
        <v>398</v>
      </c>
      <c r="I274" s="1" t="s">
        <v>397</v>
      </c>
      <c r="J274" s="1" t="s">
        <v>46</v>
      </c>
      <c r="K274" s="1">
        <v>163</v>
      </c>
      <c r="L274" s="1">
        <v>12524</v>
      </c>
      <c r="M274" s="2">
        <f t="shared" si="69"/>
        <v>2041412</v>
      </c>
      <c r="N274" s="1">
        <v>323359.65999999997</v>
      </c>
      <c r="O274" s="1">
        <f t="shared" si="70"/>
        <v>2364771.66</v>
      </c>
      <c r="P274" s="1">
        <v>9401</v>
      </c>
      <c r="Q274" s="1">
        <f t="shared" si="71"/>
        <v>2355370.66</v>
      </c>
      <c r="R274" s="1">
        <v>420295.5</v>
      </c>
      <c r="S274" s="1">
        <f t="shared" si="73"/>
        <v>336236.4</v>
      </c>
      <c r="T274" s="1">
        <f t="shared" si="72"/>
        <v>924650.10000000009</v>
      </c>
      <c r="U274" s="1">
        <v>1681182</v>
      </c>
      <c r="V274" s="1">
        <f t="shared" si="68"/>
        <v>674188.66000000015</v>
      </c>
      <c r="W274" s="1">
        <v>4.3</v>
      </c>
    </row>
    <row r="275" spans="1:23" x14ac:dyDescent="0.25">
      <c r="A275" s="1" t="s">
        <v>122</v>
      </c>
      <c r="B275" s="1" t="s">
        <v>69</v>
      </c>
      <c r="C275" s="1" t="s">
        <v>408</v>
      </c>
      <c r="D275" s="1" t="s">
        <v>15</v>
      </c>
      <c r="E275" s="1" t="s">
        <v>16</v>
      </c>
      <c r="F275" s="1" t="s">
        <v>24</v>
      </c>
      <c r="G275" s="1" t="s">
        <v>143</v>
      </c>
      <c r="H275" s="1" t="s">
        <v>398</v>
      </c>
      <c r="I275" s="1" t="s">
        <v>395</v>
      </c>
      <c r="J275" s="1" t="s">
        <v>26</v>
      </c>
      <c r="K275" s="1">
        <v>163</v>
      </c>
      <c r="L275" s="1">
        <v>16208</v>
      </c>
      <c r="M275" s="2">
        <f t="shared" si="69"/>
        <v>2641904</v>
      </c>
      <c r="N275" s="1">
        <v>404211.31</v>
      </c>
      <c r="O275" s="1">
        <f t="shared" si="70"/>
        <v>3046115.31</v>
      </c>
      <c r="P275" s="1">
        <v>7080</v>
      </c>
      <c r="Q275" s="1">
        <f t="shared" si="71"/>
        <v>3039035.31</v>
      </c>
      <c r="R275" s="1">
        <v>471110.75</v>
      </c>
      <c r="S275" s="1">
        <f t="shared" si="73"/>
        <v>376888.60000000003</v>
      </c>
      <c r="T275" s="1">
        <f t="shared" si="72"/>
        <v>1036443.6499999999</v>
      </c>
      <c r="U275" s="1">
        <v>1884443</v>
      </c>
      <c r="V275" s="1">
        <f t="shared" si="68"/>
        <v>1154592.31</v>
      </c>
      <c r="W275" s="1">
        <v>4.4000000000000004</v>
      </c>
    </row>
    <row r="276" spans="1:23" x14ac:dyDescent="0.25">
      <c r="A276" s="1" t="s">
        <v>247</v>
      </c>
      <c r="B276" s="1" t="s">
        <v>41</v>
      </c>
      <c r="C276" s="1" t="s">
        <v>408</v>
      </c>
      <c r="D276" s="1" t="s">
        <v>74</v>
      </c>
      <c r="E276" s="1" t="s">
        <v>56</v>
      </c>
      <c r="F276" s="1" t="s">
        <v>24</v>
      </c>
      <c r="G276" s="1" t="s">
        <v>25</v>
      </c>
      <c r="H276" s="1" t="s">
        <v>398</v>
      </c>
      <c r="I276" s="1" t="s">
        <v>396</v>
      </c>
      <c r="J276" s="1" t="s">
        <v>26</v>
      </c>
      <c r="K276" s="1">
        <v>98</v>
      </c>
      <c r="L276" s="1">
        <v>3707</v>
      </c>
      <c r="M276" s="2">
        <f t="shared" si="69"/>
        <v>363286</v>
      </c>
      <c r="N276" s="1">
        <v>65391.48</v>
      </c>
      <c r="O276" s="1">
        <f t="shared" si="70"/>
        <v>428677.48</v>
      </c>
      <c r="P276" s="1">
        <v>7442</v>
      </c>
      <c r="Q276" s="1">
        <f t="shared" si="71"/>
        <v>421235.48</v>
      </c>
      <c r="R276" s="1">
        <v>63773.5</v>
      </c>
      <c r="S276" s="1">
        <f t="shared" si="73"/>
        <v>51018.8</v>
      </c>
      <c r="T276" s="1">
        <f t="shared" si="72"/>
        <v>140301.70000000001</v>
      </c>
      <c r="U276" s="1">
        <v>255094</v>
      </c>
      <c r="V276" s="1">
        <f t="shared" si="68"/>
        <v>166141.47999999998</v>
      </c>
      <c r="W276" s="1">
        <v>4.2</v>
      </c>
    </row>
    <row r="277" spans="1:23" x14ac:dyDescent="0.25">
      <c r="A277" s="1" t="s">
        <v>248</v>
      </c>
      <c r="B277" s="1" t="s">
        <v>41</v>
      </c>
      <c r="C277" s="1" t="s">
        <v>408</v>
      </c>
      <c r="D277" s="1" t="s">
        <v>55</v>
      </c>
      <c r="E277" s="1" t="s">
        <v>56</v>
      </c>
      <c r="F277" s="1" t="s">
        <v>59</v>
      </c>
      <c r="G277" s="1" t="s">
        <v>85</v>
      </c>
      <c r="H277" s="1" t="s">
        <v>399</v>
      </c>
      <c r="I277" s="1" t="s">
        <v>396</v>
      </c>
      <c r="J277" s="1" t="s">
        <v>46</v>
      </c>
      <c r="K277" s="1">
        <v>132</v>
      </c>
      <c r="L277" s="1">
        <v>19113</v>
      </c>
      <c r="M277" s="2">
        <f t="shared" si="69"/>
        <v>2522916</v>
      </c>
      <c r="N277" s="1">
        <v>386006.15</v>
      </c>
      <c r="O277" s="1">
        <f t="shared" si="70"/>
        <v>2908922.15</v>
      </c>
      <c r="P277" s="1">
        <v>9434</v>
      </c>
      <c r="Q277" s="1">
        <f t="shared" si="71"/>
        <v>2899488.15</v>
      </c>
      <c r="R277" s="1">
        <f>0.7*U277</f>
        <v>1459735.2</v>
      </c>
      <c r="S277" s="1">
        <f t="shared" si="73"/>
        <v>417067.2</v>
      </c>
      <c r="T277" s="1">
        <f t="shared" si="72"/>
        <v>208533.60000000009</v>
      </c>
      <c r="U277" s="1">
        <v>2085336</v>
      </c>
      <c r="V277" s="1">
        <f t="shared" si="68"/>
        <v>814152.14999999991</v>
      </c>
      <c r="W277" s="1">
        <v>4.5999999999999996</v>
      </c>
    </row>
    <row r="278" spans="1:23" x14ac:dyDescent="0.25">
      <c r="A278" s="1" t="s">
        <v>230</v>
      </c>
      <c r="B278" s="1" t="s">
        <v>34</v>
      </c>
      <c r="C278" s="1" t="s">
        <v>408</v>
      </c>
      <c r="D278" s="1" t="s">
        <v>15</v>
      </c>
      <c r="E278" s="1" t="s">
        <v>16</v>
      </c>
      <c r="F278" s="1" t="s">
        <v>17</v>
      </c>
      <c r="G278" s="1" t="s">
        <v>38</v>
      </c>
      <c r="H278" s="1" t="s">
        <v>398</v>
      </c>
      <c r="I278" s="1" t="s">
        <v>395</v>
      </c>
      <c r="J278" s="1" t="s">
        <v>26</v>
      </c>
      <c r="K278" s="1">
        <v>33</v>
      </c>
      <c r="L278" s="1">
        <v>27868</v>
      </c>
      <c r="M278" s="2">
        <f t="shared" si="69"/>
        <v>919644</v>
      </c>
      <c r="N278" s="1">
        <v>152293.04999999999</v>
      </c>
      <c r="O278" s="1">
        <f t="shared" si="70"/>
        <v>1071937.05</v>
      </c>
      <c r="P278" s="1">
        <v>8396</v>
      </c>
      <c r="Q278" s="1">
        <f t="shared" si="71"/>
        <v>1063541.05</v>
      </c>
      <c r="R278" s="1">
        <f>0.62*U278</f>
        <v>386080.2</v>
      </c>
      <c r="S278" s="1">
        <f>U278*0.2</f>
        <v>124542</v>
      </c>
      <c r="T278" s="1">
        <f t="shared" si="72"/>
        <v>112087.79999999999</v>
      </c>
      <c r="U278" s="1">
        <v>622710</v>
      </c>
      <c r="V278" s="1">
        <f t="shared" si="68"/>
        <v>440831.05000000005</v>
      </c>
      <c r="W278" s="1">
        <v>3.7</v>
      </c>
    </row>
    <row r="279" spans="1:23" x14ac:dyDescent="0.25">
      <c r="A279" s="1" t="s">
        <v>100</v>
      </c>
      <c r="B279" s="1" t="s">
        <v>51</v>
      </c>
      <c r="C279" s="1" t="s">
        <v>408</v>
      </c>
      <c r="D279" s="1" t="s">
        <v>22</v>
      </c>
      <c r="E279" s="1" t="s">
        <v>23</v>
      </c>
      <c r="F279" s="1" t="s">
        <v>24</v>
      </c>
      <c r="G279" s="1" t="s">
        <v>119</v>
      </c>
      <c r="H279" s="1" t="s">
        <v>399</v>
      </c>
      <c r="I279" s="1" t="s">
        <v>397</v>
      </c>
      <c r="J279" s="1" t="s">
        <v>46</v>
      </c>
      <c r="K279" s="1">
        <v>119</v>
      </c>
      <c r="L279" s="1">
        <v>31020</v>
      </c>
      <c r="M279" s="2">
        <f t="shared" si="69"/>
        <v>3691380</v>
      </c>
      <c r="N279" s="1">
        <v>631225.98</v>
      </c>
      <c r="O279" s="1">
        <f t="shared" si="70"/>
        <v>4322605.9800000004</v>
      </c>
      <c r="P279" s="1">
        <v>5619</v>
      </c>
      <c r="Q279" s="1">
        <f t="shared" si="71"/>
        <v>4316986.9800000004</v>
      </c>
      <c r="R279" s="1">
        <v>632544.5</v>
      </c>
      <c r="S279" s="1">
        <f t="shared" si="73"/>
        <v>506035.60000000003</v>
      </c>
      <c r="T279" s="1">
        <f t="shared" si="72"/>
        <v>1391597.9</v>
      </c>
      <c r="U279" s="1">
        <v>2530178</v>
      </c>
      <c r="V279" s="1">
        <f t="shared" si="68"/>
        <v>1786808.9800000004</v>
      </c>
      <c r="W279" s="1">
        <v>4.7</v>
      </c>
    </row>
    <row r="280" spans="1:23" x14ac:dyDescent="0.25">
      <c r="A280" s="1" t="s">
        <v>152</v>
      </c>
      <c r="B280" s="1" t="s">
        <v>51</v>
      </c>
      <c r="C280" s="1" t="s">
        <v>408</v>
      </c>
      <c r="D280" s="1" t="s">
        <v>55</v>
      </c>
      <c r="E280" s="1" t="s">
        <v>56</v>
      </c>
      <c r="F280" s="1" t="s">
        <v>29</v>
      </c>
      <c r="G280" s="1" t="s">
        <v>91</v>
      </c>
      <c r="H280" s="1" t="s">
        <v>398</v>
      </c>
      <c r="I280" s="1" t="s">
        <v>396</v>
      </c>
      <c r="J280" s="1" t="s">
        <v>26</v>
      </c>
      <c r="K280" s="1">
        <v>101</v>
      </c>
      <c r="L280" s="1">
        <v>31866</v>
      </c>
      <c r="M280" s="2">
        <f t="shared" si="69"/>
        <v>3218466</v>
      </c>
      <c r="N280" s="1">
        <v>579323.88</v>
      </c>
      <c r="O280" s="1">
        <f t="shared" si="70"/>
        <v>3797789.88</v>
      </c>
      <c r="P280" s="1">
        <v>7805</v>
      </c>
      <c r="Q280" s="1">
        <f t="shared" si="71"/>
        <v>3789984.88</v>
      </c>
      <c r="R280" s="1">
        <v>1687255.5</v>
      </c>
      <c r="S280" s="1">
        <f>U280*0.1</f>
        <v>224967.40000000002</v>
      </c>
      <c r="T280" s="1">
        <f t="shared" si="72"/>
        <v>337451.10000000009</v>
      </c>
      <c r="U280" s="1">
        <v>2249674</v>
      </c>
      <c r="V280" s="1">
        <f t="shared" si="68"/>
        <v>1540310.88</v>
      </c>
      <c r="W280" s="1">
        <v>3.6</v>
      </c>
    </row>
    <row r="281" spans="1:23" x14ac:dyDescent="0.25">
      <c r="A281" s="1" t="s">
        <v>249</v>
      </c>
      <c r="B281" s="1" t="s">
        <v>109</v>
      </c>
      <c r="C281" s="1" t="s">
        <v>408</v>
      </c>
      <c r="D281" s="1" t="s">
        <v>42</v>
      </c>
      <c r="E281" s="1" t="s">
        <v>43</v>
      </c>
      <c r="F281" s="1" t="s">
        <v>24</v>
      </c>
      <c r="G281" s="1" t="s">
        <v>25</v>
      </c>
      <c r="H281" s="1" t="s">
        <v>399</v>
      </c>
      <c r="I281" s="1" t="s">
        <v>39</v>
      </c>
      <c r="J281" s="1" t="s">
        <v>46</v>
      </c>
      <c r="K281" s="1">
        <v>63</v>
      </c>
      <c r="L281" s="1">
        <v>21113</v>
      </c>
      <c r="M281" s="2">
        <f t="shared" si="69"/>
        <v>1330119</v>
      </c>
      <c r="N281" s="1">
        <v>239421.42</v>
      </c>
      <c r="O281" s="1">
        <f t="shared" si="70"/>
        <v>1569540.42</v>
      </c>
      <c r="P281" s="1">
        <v>5581</v>
      </c>
      <c r="Q281" s="1">
        <f t="shared" si="71"/>
        <v>1563959.42</v>
      </c>
      <c r="R281" s="1">
        <v>256898.25</v>
      </c>
      <c r="S281" s="1">
        <f t="shared" si="73"/>
        <v>205518.6</v>
      </c>
      <c r="T281" s="1">
        <f t="shared" si="72"/>
        <v>565176.15</v>
      </c>
      <c r="U281" s="1">
        <v>1027593</v>
      </c>
      <c r="V281" s="1">
        <f t="shared" si="68"/>
        <v>536366.41999999993</v>
      </c>
      <c r="W281" s="1">
        <v>3.8</v>
      </c>
    </row>
    <row r="282" spans="1:23" x14ac:dyDescent="0.25">
      <c r="A282" s="1" t="s">
        <v>158</v>
      </c>
      <c r="B282" s="1" t="s">
        <v>34</v>
      </c>
      <c r="C282" s="1" t="s">
        <v>408</v>
      </c>
      <c r="D282" s="1" t="s">
        <v>48</v>
      </c>
      <c r="E282" s="1" t="s">
        <v>49</v>
      </c>
      <c r="F282" s="1" t="s">
        <v>59</v>
      </c>
      <c r="G282" s="1" t="s">
        <v>103</v>
      </c>
      <c r="H282" s="1" t="s">
        <v>398</v>
      </c>
      <c r="I282" s="1" t="s">
        <v>19</v>
      </c>
      <c r="J282" s="1" t="s">
        <v>46</v>
      </c>
      <c r="K282" s="1">
        <v>63</v>
      </c>
      <c r="L282" s="1">
        <v>11494</v>
      </c>
      <c r="M282" s="2">
        <f t="shared" si="69"/>
        <v>724122</v>
      </c>
      <c r="N282" s="1">
        <v>130341.96</v>
      </c>
      <c r="O282" s="1">
        <f t="shared" si="70"/>
        <v>854463.96</v>
      </c>
      <c r="P282" s="1">
        <v>5500</v>
      </c>
      <c r="Q282" s="1">
        <f t="shared" si="71"/>
        <v>848963.96</v>
      </c>
      <c r="R282" s="1">
        <f>0.7*U282</f>
        <v>385434</v>
      </c>
      <c r="S282" s="1">
        <f t="shared" si="73"/>
        <v>110124</v>
      </c>
      <c r="T282" s="1">
        <f t="shared" si="72"/>
        <v>55062</v>
      </c>
      <c r="U282" s="1">
        <v>550620</v>
      </c>
      <c r="V282" s="1">
        <f t="shared" si="68"/>
        <v>298343.95999999996</v>
      </c>
      <c r="W282" s="1">
        <v>5</v>
      </c>
    </row>
    <row r="283" spans="1:23" x14ac:dyDescent="0.25">
      <c r="A283" s="1" t="s">
        <v>153</v>
      </c>
      <c r="B283" s="1" t="s">
        <v>69</v>
      </c>
      <c r="C283" s="1" t="s">
        <v>408</v>
      </c>
      <c r="D283" s="1" t="s">
        <v>48</v>
      </c>
      <c r="E283" s="1" t="s">
        <v>49</v>
      </c>
      <c r="F283" s="1" t="s">
        <v>17</v>
      </c>
      <c r="G283" s="1" t="s">
        <v>18</v>
      </c>
      <c r="H283" s="1" t="s">
        <v>399</v>
      </c>
      <c r="I283" s="1" t="s">
        <v>397</v>
      </c>
      <c r="J283" s="1" t="s">
        <v>46</v>
      </c>
      <c r="K283" s="1">
        <v>200</v>
      </c>
      <c r="L283" s="1">
        <v>11628</v>
      </c>
      <c r="M283" s="2">
        <f t="shared" si="69"/>
        <v>2325600</v>
      </c>
      <c r="N283" s="1">
        <v>385119.36</v>
      </c>
      <c r="O283" s="1">
        <f t="shared" si="70"/>
        <v>2710719.36</v>
      </c>
      <c r="P283" s="1">
        <v>9245</v>
      </c>
      <c r="Q283" s="1">
        <f t="shared" si="71"/>
        <v>2701474.36</v>
      </c>
      <c r="R283" s="1">
        <f>0.62*U283</f>
        <v>915864</v>
      </c>
      <c r="S283" s="1">
        <f>U283*0.2</f>
        <v>295440</v>
      </c>
      <c r="T283" s="1">
        <f t="shared" si="72"/>
        <v>265896</v>
      </c>
      <c r="U283" s="1">
        <v>1477200</v>
      </c>
      <c r="V283" s="1">
        <f t="shared" si="68"/>
        <v>1224274.3599999999</v>
      </c>
      <c r="W283" s="1">
        <v>4.5</v>
      </c>
    </row>
    <row r="284" spans="1:23" x14ac:dyDescent="0.25">
      <c r="A284" s="1" t="s">
        <v>101</v>
      </c>
      <c r="B284" s="1" t="s">
        <v>14</v>
      </c>
      <c r="C284" s="1" t="s">
        <v>408</v>
      </c>
      <c r="D284" s="1" t="s">
        <v>22</v>
      </c>
      <c r="E284" s="1" t="s">
        <v>23</v>
      </c>
      <c r="F284" s="1" t="s">
        <v>29</v>
      </c>
      <c r="G284" s="1" t="s">
        <v>30</v>
      </c>
      <c r="H284" s="1" t="s">
        <v>398</v>
      </c>
      <c r="I284" s="1" t="s">
        <v>19</v>
      </c>
      <c r="J284" s="1" t="s">
        <v>46</v>
      </c>
      <c r="K284" s="1">
        <v>86</v>
      </c>
      <c r="L284" s="1">
        <v>18254</v>
      </c>
      <c r="M284" s="2">
        <f t="shared" si="69"/>
        <v>1569844</v>
      </c>
      <c r="N284" s="1">
        <v>268443.32</v>
      </c>
      <c r="O284" s="1">
        <f t="shared" si="70"/>
        <v>1838287.32</v>
      </c>
      <c r="P284" s="1">
        <v>5146</v>
      </c>
      <c r="Q284" s="1">
        <f t="shared" si="71"/>
        <v>1833141.32</v>
      </c>
      <c r="R284" s="1">
        <v>285176</v>
      </c>
      <c r="S284" s="1">
        <f>U284*0.1</f>
        <v>114070.40000000001</v>
      </c>
      <c r="T284" s="1">
        <f t="shared" si="72"/>
        <v>741457.6</v>
      </c>
      <c r="U284" s="1">
        <v>1140704</v>
      </c>
      <c r="V284" s="1">
        <f t="shared" si="68"/>
        <v>692437.32000000007</v>
      </c>
      <c r="W284" s="1">
        <v>3.6</v>
      </c>
    </row>
    <row r="285" spans="1:23" x14ac:dyDescent="0.25">
      <c r="A285" s="1" t="s">
        <v>129</v>
      </c>
      <c r="B285" s="1" t="s">
        <v>58</v>
      </c>
      <c r="C285" s="1" t="s">
        <v>408</v>
      </c>
      <c r="D285" s="1" t="s">
        <v>42</v>
      </c>
      <c r="E285" s="1" t="s">
        <v>43</v>
      </c>
      <c r="F285" s="1" t="s">
        <v>24</v>
      </c>
      <c r="G285" s="1" t="s">
        <v>63</v>
      </c>
      <c r="H285" s="1" t="s">
        <v>398</v>
      </c>
      <c r="I285" s="1" t="s">
        <v>396</v>
      </c>
      <c r="J285" s="1" t="s">
        <v>46</v>
      </c>
      <c r="K285" s="1">
        <v>194</v>
      </c>
      <c r="L285" s="1">
        <v>27036</v>
      </c>
      <c r="M285" s="2">
        <f t="shared" si="69"/>
        <v>5244984</v>
      </c>
      <c r="N285" s="1">
        <v>868569.35</v>
      </c>
      <c r="O285" s="1">
        <f t="shared" si="70"/>
        <v>6113553.3499999996</v>
      </c>
      <c r="P285" s="1">
        <v>7068</v>
      </c>
      <c r="Q285" s="1">
        <f t="shared" si="71"/>
        <v>6106485.3499999996</v>
      </c>
      <c r="R285" s="1">
        <v>1667721</v>
      </c>
      <c r="S285" s="1">
        <f t="shared" si="73"/>
        <v>667088.4</v>
      </c>
      <c r="T285" s="1">
        <f t="shared" si="72"/>
        <v>1000632.6000000001</v>
      </c>
      <c r="U285" s="1">
        <v>3335442</v>
      </c>
      <c r="V285" s="1">
        <f t="shared" si="68"/>
        <v>2771043.3499999996</v>
      </c>
      <c r="W285" s="1">
        <v>3.7</v>
      </c>
    </row>
    <row r="286" spans="1:23" x14ac:dyDescent="0.25">
      <c r="A286" s="1" t="s">
        <v>250</v>
      </c>
      <c r="B286" s="1" t="s">
        <v>37</v>
      </c>
      <c r="C286" s="1" t="s">
        <v>408</v>
      </c>
      <c r="D286" s="1" t="s">
        <v>62</v>
      </c>
      <c r="E286" s="1" t="s">
        <v>43</v>
      </c>
      <c r="F286" s="1" t="s">
        <v>59</v>
      </c>
      <c r="G286" s="1" t="s">
        <v>121</v>
      </c>
      <c r="H286" s="1" t="s">
        <v>398</v>
      </c>
      <c r="I286" s="1" t="s">
        <v>397</v>
      </c>
      <c r="J286" s="1" t="s">
        <v>46</v>
      </c>
      <c r="K286" s="1">
        <v>40</v>
      </c>
      <c r="L286" s="1">
        <v>12234</v>
      </c>
      <c r="M286" s="2">
        <f t="shared" si="69"/>
        <v>489360</v>
      </c>
      <c r="N286" s="1">
        <v>81038.02</v>
      </c>
      <c r="O286" s="1">
        <f t="shared" si="70"/>
        <v>570398.02</v>
      </c>
      <c r="P286" s="1">
        <v>7220</v>
      </c>
      <c r="Q286" s="1">
        <f t="shared" si="71"/>
        <v>563178.02</v>
      </c>
      <c r="R286" s="1">
        <f>0.7*U286</f>
        <v>250907.99999999997</v>
      </c>
      <c r="S286" s="1">
        <f t="shared" si="73"/>
        <v>71688</v>
      </c>
      <c r="T286" s="1">
        <f t="shared" si="72"/>
        <v>35844.000000000029</v>
      </c>
      <c r="U286" s="1">
        <v>358440</v>
      </c>
      <c r="V286" s="1">
        <f t="shared" si="68"/>
        <v>204738.02000000002</v>
      </c>
      <c r="W286" s="1">
        <v>4.5999999999999996</v>
      </c>
    </row>
    <row r="287" spans="1:23" x14ac:dyDescent="0.25">
      <c r="A287" s="1" t="s">
        <v>245</v>
      </c>
      <c r="B287" s="1" t="s">
        <v>58</v>
      </c>
      <c r="C287" s="1" t="s">
        <v>408</v>
      </c>
      <c r="D287" s="1" t="s">
        <v>48</v>
      </c>
      <c r="E287" s="1" t="s">
        <v>49</v>
      </c>
      <c r="F287" s="1" t="s">
        <v>17</v>
      </c>
      <c r="G287" s="1" t="s">
        <v>75</v>
      </c>
      <c r="H287" s="1" t="s">
        <v>399</v>
      </c>
      <c r="I287" s="1" t="s">
        <v>395</v>
      </c>
      <c r="J287" s="1" t="s">
        <v>26</v>
      </c>
      <c r="K287" s="1">
        <v>157</v>
      </c>
      <c r="L287" s="1">
        <v>12803</v>
      </c>
      <c r="M287" s="2">
        <f t="shared" si="69"/>
        <v>2010071</v>
      </c>
      <c r="N287" s="1">
        <v>318395.25</v>
      </c>
      <c r="O287" s="1">
        <f t="shared" si="70"/>
        <v>2328466.25</v>
      </c>
      <c r="P287" s="1">
        <v>8222</v>
      </c>
      <c r="Q287" s="1">
        <f t="shared" si="71"/>
        <v>2320244.25</v>
      </c>
      <c r="R287" s="1">
        <f>0.62*U287</f>
        <v>927844.88</v>
      </c>
      <c r="S287" s="1">
        <f>U287*0.2</f>
        <v>299304.8</v>
      </c>
      <c r="T287" s="1">
        <f t="shared" si="72"/>
        <v>269374.31999999995</v>
      </c>
      <c r="U287" s="1">
        <v>1496524</v>
      </c>
      <c r="V287" s="1">
        <f t="shared" si="68"/>
        <v>823720.25</v>
      </c>
      <c r="W287" s="1">
        <v>3.9</v>
      </c>
    </row>
    <row r="288" spans="1:23" x14ac:dyDescent="0.25">
      <c r="A288" s="1" t="s">
        <v>251</v>
      </c>
      <c r="B288" s="1" t="s">
        <v>32</v>
      </c>
      <c r="C288" s="1" t="s">
        <v>408</v>
      </c>
      <c r="D288" s="1" t="s">
        <v>55</v>
      </c>
      <c r="E288" s="1" t="s">
        <v>56</v>
      </c>
      <c r="F288" s="1" t="s">
        <v>29</v>
      </c>
      <c r="G288" s="1" t="s">
        <v>30</v>
      </c>
      <c r="H288" s="1" t="s">
        <v>398</v>
      </c>
      <c r="I288" s="1" t="s">
        <v>39</v>
      </c>
      <c r="J288" s="1" t="s">
        <v>26</v>
      </c>
      <c r="K288" s="1">
        <v>60</v>
      </c>
      <c r="L288" s="1">
        <v>11132</v>
      </c>
      <c r="M288" s="2">
        <f t="shared" si="69"/>
        <v>667920</v>
      </c>
      <c r="N288" s="1">
        <v>110607.55</v>
      </c>
      <c r="O288" s="1">
        <f t="shared" si="70"/>
        <v>778527.55</v>
      </c>
      <c r="P288" s="1">
        <v>9590</v>
      </c>
      <c r="Q288" s="1">
        <f t="shared" si="71"/>
        <v>768937.55</v>
      </c>
      <c r="R288" s="1">
        <v>254880</v>
      </c>
      <c r="S288" s="1">
        <f t="shared" ref="S288:S289" si="79">U288*0.1</f>
        <v>50976</v>
      </c>
      <c r="T288" s="1">
        <f t="shared" si="72"/>
        <v>203904</v>
      </c>
      <c r="U288" s="1">
        <v>509760</v>
      </c>
      <c r="V288" s="1">
        <f t="shared" si="68"/>
        <v>259177.55000000005</v>
      </c>
      <c r="W288" s="1">
        <v>4.4000000000000004</v>
      </c>
    </row>
    <row r="289" spans="1:23" x14ac:dyDescent="0.25">
      <c r="A289" s="1" t="s">
        <v>252</v>
      </c>
      <c r="B289" s="1" t="s">
        <v>14</v>
      </c>
      <c r="C289" s="1" t="s">
        <v>408</v>
      </c>
      <c r="D289" s="1" t="s">
        <v>55</v>
      </c>
      <c r="E289" s="1" t="s">
        <v>56</v>
      </c>
      <c r="F289" s="1" t="s">
        <v>29</v>
      </c>
      <c r="G289" s="1" t="s">
        <v>53</v>
      </c>
      <c r="H289" s="1" t="s">
        <v>399</v>
      </c>
      <c r="I289" s="1" t="s">
        <v>395</v>
      </c>
      <c r="J289" s="1" t="s">
        <v>26</v>
      </c>
      <c r="K289" s="1">
        <v>63</v>
      </c>
      <c r="L289" s="1">
        <v>31286</v>
      </c>
      <c r="M289" s="2">
        <f t="shared" si="69"/>
        <v>1971018</v>
      </c>
      <c r="N289" s="1">
        <v>354783.24</v>
      </c>
      <c r="O289" s="1">
        <f t="shared" si="70"/>
        <v>2325801.2400000002</v>
      </c>
      <c r="P289" s="1">
        <v>6836</v>
      </c>
      <c r="Q289" s="1">
        <f t="shared" si="71"/>
        <v>2318965.2400000002</v>
      </c>
      <c r="R289" s="1">
        <v>370865.25</v>
      </c>
      <c r="S289" s="1">
        <f t="shared" si="79"/>
        <v>148346.1</v>
      </c>
      <c r="T289" s="1">
        <f t="shared" si="72"/>
        <v>964249.64999999991</v>
      </c>
      <c r="U289" s="1">
        <v>1483461</v>
      </c>
      <c r="V289" s="1">
        <f t="shared" si="68"/>
        <v>835504.24000000022</v>
      </c>
      <c r="W289" s="1">
        <v>4.8</v>
      </c>
    </row>
    <row r="290" spans="1:23" x14ac:dyDescent="0.25">
      <c r="A290" s="1" t="s">
        <v>253</v>
      </c>
      <c r="B290" s="1" t="s">
        <v>28</v>
      </c>
      <c r="C290" s="1" t="s">
        <v>408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398</v>
      </c>
      <c r="I290" s="1" t="s">
        <v>19</v>
      </c>
      <c r="J290" s="1" t="s">
        <v>26</v>
      </c>
      <c r="K290" s="1">
        <v>57</v>
      </c>
      <c r="L290" s="1">
        <v>16719</v>
      </c>
      <c r="M290" s="2">
        <f t="shared" si="69"/>
        <v>952983</v>
      </c>
      <c r="N290" s="1">
        <v>157813.98000000001</v>
      </c>
      <c r="O290" s="1">
        <f t="shared" si="70"/>
        <v>1110796.98</v>
      </c>
      <c r="P290" s="1">
        <v>5091</v>
      </c>
      <c r="Q290" s="1">
        <f t="shared" si="71"/>
        <v>1105705.98</v>
      </c>
      <c r="R290" s="1">
        <v>328063.5</v>
      </c>
      <c r="S290" s="1">
        <f t="shared" si="73"/>
        <v>131225.4</v>
      </c>
      <c r="T290" s="1">
        <f t="shared" si="72"/>
        <v>196838.09999999998</v>
      </c>
      <c r="U290" s="1">
        <v>656127</v>
      </c>
      <c r="V290" s="1">
        <f t="shared" si="68"/>
        <v>449578.98</v>
      </c>
      <c r="W290" s="1">
        <v>4.5</v>
      </c>
    </row>
    <row r="291" spans="1:23" x14ac:dyDescent="0.25">
      <c r="A291" s="1" t="s">
        <v>254</v>
      </c>
      <c r="B291" s="1" t="s">
        <v>28</v>
      </c>
      <c r="C291" s="1" t="s">
        <v>408</v>
      </c>
      <c r="D291" s="1" t="s">
        <v>48</v>
      </c>
      <c r="E291" s="1" t="s">
        <v>49</v>
      </c>
      <c r="F291" s="1" t="s">
        <v>59</v>
      </c>
      <c r="G291" s="1" t="s">
        <v>85</v>
      </c>
      <c r="H291" s="1" t="s">
        <v>399</v>
      </c>
      <c r="I291" s="1" t="s">
        <v>19</v>
      </c>
      <c r="J291" s="1" t="s">
        <v>46</v>
      </c>
      <c r="K291" s="1">
        <v>153</v>
      </c>
      <c r="L291" s="1">
        <v>2899</v>
      </c>
      <c r="M291" s="2">
        <f t="shared" si="69"/>
        <v>443547</v>
      </c>
      <c r="N291" s="1">
        <v>75846.539999999994</v>
      </c>
      <c r="O291" s="1">
        <f t="shared" si="70"/>
        <v>519393.54</v>
      </c>
      <c r="P291" s="1">
        <v>8285</v>
      </c>
      <c r="Q291" s="1">
        <f t="shared" si="71"/>
        <v>511108.54</v>
      </c>
      <c r="R291" s="1">
        <f>0.7*U291</f>
        <v>254897.99999999997</v>
      </c>
      <c r="S291" s="1">
        <f t="shared" si="73"/>
        <v>72828</v>
      </c>
      <c r="T291" s="1">
        <f t="shared" si="72"/>
        <v>36414.000000000029</v>
      </c>
      <c r="U291" s="1">
        <v>364140</v>
      </c>
      <c r="V291" s="1">
        <f t="shared" si="68"/>
        <v>146968.53999999998</v>
      </c>
      <c r="W291" s="1">
        <v>3.9</v>
      </c>
    </row>
    <row r="292" spans="1:23" x14ac:dyDescent="0.25">
      <c r="A292" s="1" t="s">
        <v>251</v>
      </c>
      <c r="B292" s="1" t="s">
        <v>34</v>
      </c>
      <c r="C292" s="1" t="s">
        <v>408</v>
      </c>
      <c r="D292" s="1" t="s">
        <v>42</v>
      </c>
      <c r="E292" s="1" t="s">
        <v>43</v>
      </c>
      <c r="F292" s="1" t="s">
        <v>29</v>
      </c>
      <c r="G292" s="1" t="s">
        <v>91</v>
      </c>
      <c r="H292" s="1" t="s">
        <v>398</v>
      </c>
      <c r="I292" s="1" t="s">
        <v>19</v>
      </c>
      <c r="J292" s="1" t="s">
        <v>46</v>
      </c>
      <c r="K292" s="1">
        <v>134</v>
      </c>
      <c r="L292" s="1">
        <v>18342</v>
      </c>
      <c r="M292" s="2">
        <f t="shared" si="69"/>
        <v>2457828</v>
      </c>
      <c r="N292" s="1">
        <v>442409.04</v>
      </c>
      <c r="O292" s="1">
        <f t="shared" si="70"/>
        <v>2900237.04</v>
      </c>
      <c r="P292" s="1">
        <v>9194</v>
      </c>
      <c r="Q292" s="1">
        <f t="shared" si="71"/>
        <v>2891043.04</v>
      </c>
      <c r="R292" s="1">
        <v>878772</v>
      </c>
      <c r="S292" s="1">
        <f>U292*0.1</f>
        <v>175754.40000000002</v>
      </c>
      <c r="T292" s="1">
        <f t="shared" si="72"/>
        <v>703017.60000000009</v>
      </c>
      <c r="U292" s="1">
        <v>1757544</v>
      </c>
      <c r="V292" s="1">
        <f t="shared" si="68"/>
        <v>1133499.04</v>
      </c>
      <c r="W292" s="1">
        <v>5</v>
      </c>
    </row>
    <row r="293" spans="1:23" x14ac:dyDescent="0.25">
      <c r="A293" s="1" t="s">
        <v>255</v>
      </c>
      <c r="B293" s="1" t="s">
        <v>21</v>
      </c>
      <c r="C293" s="1" t="s">
        <v>408</v>
      </c>
      <c r="D293" s="1" t="s">
        <v>52</v>
      </c>
      <c r="E293" s="1" t="s">
        <v>23</v>
      </c>
      <c r="F293" s="1" t="s">
        <v>17</v>
      </c>
      <c r="G293" s="1" t="s">
        <v>18</v>
      </c>
      <c r="H293" s="1" t="s">
        <v>399</v>
      </c>
      <c r="I293" s="1" t="s">
        <v>39</v>
      </c>
      <c r="J293" s="1" t="s">
        <v>46</v>
      </c>
      <c r="K293" s="1">
        <v>78</v>
      </c>
      <c r="L293" s="1">
        <v>30787</v>
      </c>
      <c r="M293" s="2">
        <f t="shared" si="69"/>
        <v>2401386</v>
      </c>
      <c r="N293" s="1">
        <v>367412.06</v>
      </c>
      <c r="O293" s="1">
        <f t="shared" si="70"/>
        <v>2768798.06</v>
      </c>
      <c r="P293" s="1">
        <v>7822</v>
      </c>
      <c r="Q293" s="1">
        <f t="shared" si="71"/>
        <v>2760976.06</v>
      </c>
      <c r="R293" s="1">
        <f>0.62*U293</f>
        <v>1159479.3600000001</v>
      </c>
      <c r="S293" s="1">
        <f>U293*0.2</f>
        <v>374025.60000000003</v>
      </c>
      <c r="T293" s="1">
        <f t="shared" si="72"/>
        <v>336623.0399999998</v>
      </c>
      <c r="U293" s="1">
        <v>1870128</v>
      </c>
      <c r="V293" s="1">
        <f t="shared" si="68"/>
        <v>890848.06</v>
      </c>
      <c r="W293" s="1">
        <v>4.2</v>
      </c>
    </row>
    <row r="294" spans="1:23" x14ac:dyDescent="0.25">
      <c r="A294" s="1" t="s">
        <v>178</v>
      </c>
      <c r="B294" s="1" t="s">
        <v>21</v>
      </c>
      <c r="C294" s="1" t="s">
        <v>408</v>
      </c>
      <c r="D294" s="1" t="s">
        <v>48</v>
      </c>
      <c r="E294" s="1" t="s">
        <v>49</v>
      </c>
      <c r="F294" s="1" t="s">
        <v>29</v>
      </c>
      <c r="G294" s="1" t="s">
        <v>30</v>
      </c>
      <c r="H294" s="1" t="s">
        <v>398</v>
      </c>
      <c r="I294" s="1" t="s">
        <v>19</v>
      </c>
      <c r="J294" s="1" t="s">
        <v>46</v>
      </c>
      <c r="K294" s="1">
        <v>196</v>
      </c>
      <c r="L294" s="1">
        <v>25236</v>
      </c>
      <c r="M294" s="2">
        <f t="shared" si="69"/>
        <v>4946256</v>
      </c>
      <c r="N294" s="1">
        <v>756777.17</v>
      </c>
      <c r="O294" s="1">
        <f t="shared" si="70"/>
        <v>5703033.1699999999</v>
      </c>
      <c r="P294" s="1">
        <v>9103</v>
      </c>
      <c r="Q294" s="1">
        <f t="shared" si="71"/>
        <v>5693930.1699999999</v>
      </c>
      <c r="R294" s="1">
        <v>1715588</v>
      </c>
      <c r="S294" s="1">
        <f>U294*0.1</f>
        <v>343117.60000000003</v>
      </c>
      <c r="T294" s="1">
        <f t="shared" si="72"/>
        <v>1372470.4</v>
      </c>
      <c r="U294" s="1">
        <v>3431176</v>
      </c>
      <c r="V294" s="1">
        <f t="shared" si="68"/>
        <v>2262754.17</v>
      </c>
      <c r="W294" s="1">
        <v>4.3</v>
      </c>
    </row>
    <row r="295" spans="1:23" x14ac:dyDescent="0.25">
      <c r="A295" s="1" t="s">
        <v>154</v>
      </c>
      <c r="B295" s="1" t="s">
        <v>109</v>
      </c>
      <c r="C295" s="1" t="s">
        <v>408</v>
      </c>
      <c r="D295" s="1" t="s">
        <v>78</v>
      </c>
      <c r="E295" s="1" t="s">
        <v>49</v>
      </c>
      <c r="F295" s="1" t="s">
        <v>59</v>
      </c>
      <c r="G295" s="1" t="s">
        <v>103</v>
      </c>
      <c r="H295" s="1" t="s">
        <v>399</v>
      </c>
      <c r="I295" s="1" t="s">
        <v>396</v>
      </c>
      <c r="J295" s="1" t="s">
        <v>46</v>
      </c>
      <c r="K295" s="1">
        <v>17</v>
      </c>
      <c r="L295" s="1">
        <v>21935</v>
      </c>
      <c r="M295" s="2">
        <f t="shared" si="69"/>
        <v>372895</v>
      </c>
      <c r="N295" s="1">
        <v>59066.57</v>
      </c>
      <c r="O295" s="1">
        <f t="shared" si="70"/>
        <v>431961.57</v>
      </c>
      <c r="P295" s="1">
        <v>5923</v>
      </c>
      <c r="Q295" s="1">
        <f t="shared" si="71"/>
        <v>426038.57</v>
      </c>
      <c r="R295" s="1">
        <f t="shared" ref="R295:R296" si="80">0.7*U295</f>
        <v>182105.69999999998</v>
      </c>
      <c r="S295" s="1">
        <f t="shared" si="73"/>
        <v>52030.200000000004</v>
      </c>
      <c r="T295" s="1">
        <f t="shared" si="72"/>
        <v>26015.100000000006</v>
      </c>
      <c r="U295" s="1">
        <v>260151</v>
      </c>
      <c r="V295" s="1">
        <f t="shared" si="68"/>
        <v>165887.57</v>
      </c>
      <c r="W295" s="1">
        <v>4.7</v>
      </c>
    </row>
    <row r="296" spans="1:23" x14ac:dyDescent="0.25">
      <c r="A296" s="1" t="s">
        <v>82</v>
      </c>
      <c r="B296" s="1" t="s">
        <v>21</v>
      </c>
      <c r="C296" s="1" t="s">
        <v>408</v>
      </c>
      <c r="D296" s="1" t="s">
        <v>55</v>
      </c>
      <c r="E296" s="1" t="s">
        <v>56</v>
      </c>
      <c r="F296" s="1" t="s">
        <v>59</v>
      </c>
      <c r="G296" s="1" t="s">
        <v>85</v>
      </c>
      <c r="H296" s="1" t="s">
        <v>399</v>
      </c>
      <c r="I296" s="1" t="s">
        <v>39</v>
      </c>
      <c r="J296" s="1" t="s">
        <v>46</v>
      </c>
      <c r="K296" s="1">
        <v>182</v>
      </c>
      <c r="L296" s="1">
        <v>18986</v>
      </c>
      <c r="M296" s="2">
        <f t="shared" si="69"/>
        <v>3455452</v>
      </c>
      <c r="N296" s="1">
        <v>528684.16</v>
      </c>
      <c r="O296" s="1">
        <f t="shared" si="70"/>
        <v>3984136.16</v>
      </c>
      <c r="P296" s="1">
        <v>9804</v>
      </c>
      <c r="Q296" s="1">
        <f t="shared" si="71"/>
        <v>3974332.16</v>
      </c>
      <c r="R296" s="1">
        <f t="shared" si="80"/>
        <v>1729837.2</v>
      </c>
      <c r="S296" s="1">
        <f t="shared" si="73"/>
        <v>494239.2</v>
      </c>
      <c r="T296" s="1">
        <f t="shared" si="72"/>
        <v>247119.60000000009</v>
      </c>
      <c r="U296" s="1">
        <v>2471196</v>
      </c>
      <c r="V296" s="1">
        <f t="shared" si="68"/>
        <v>1503136.1600000001</v>
      </c>
      <c r="W296" s="1">
        <v>4.5</v>
      </c>
    </row>
    <row r="297" spans="1:23" x14ac:dyDescent="0.25">
      <c r="A297" s="1" t="s">
        <v>256</v>
      </c>
      <c r="B297" s="1" t="s">
        <v>77</v>
      </c>
      <c r="C297" s="1" t="s">
        <v>408</v>
      </c>
      <c r="D297" s="1" t="s">
        <v>74</v>
      </c>
      <c r="E297" s="1" t="s">
        <v>56</v>
      </c>
      <c r="F297" s="1" t="s">
        <v>29</v>
      </c>
      <c r="G297" s="1" t="s">
        <v>87</v>
      </c>
      <c r="H297" s="1" t="s">
        <v>398</v>
      </c>
      <c r="I297" s="1" t="s">
        <v>19</v>
      </c>
      <c r="J297" s="1" t="s">
        <v>26</v>
      </c>
      <c r="K297" s="1">
        <v>78</v>
      </c>
      <c r="L297" s="1">
        <v>17137</v>
      </c>
      <c r="M297" s="2">
        <f t="shared" si="69"/>
        <v>1336686</v>
      </c>
      <c r="N297" s="1">
        <v>240603.48</v>
      </c>
      <c r="O297" s="1">
        <f t="shared" si="70"/>
        <v>1577289.48</v>
      </c>
      <c r="P297" s="1">
        <v>9378</v>
      </c>
      <c r="Q297" s="1">
        <f t="shared" si="71"/>
        <v>1567911.48</v>
      </c>
      <c r="R297" s="1">
        <v>235131</v>
      </c>
      <c r="S297" s="1">
        <f t="shared" ref="S297:S300" si="81">U297*0.1</f>
        <v>94052.400000000009</v>
      </c>
      <c r="T297" s="1">
        <f t="shared" si="72"/>
        <v>611340.6</v>
      </c>
      <c r="U297" s="1">
        <v>940524</v>
      </c>
      <c r="V297" s="1">
        <f t="shared" si="68"/>
        <v>627387.48</v>
      </c>
      <c r="W297" s="1">
        <v>4.9000000000000004</v>
      </c>
    </row>
    <row r="298" spans="1:23" x14ac:dyDescent="0.25">
      <c r="A298" s="1" t="s">
        <v>257</v>
      </c>
      <c r="B298" s="1" t="s">
        <v>69</v>
      </c>
      <c r="C298" s="1" t="s">
        <v>408</v>
      </c>
      <c r="D298" s="1" t="s">
        <v>62</v>
      </c>
      <c r="E298" s="1" t="s">
        <v>43</v>
      </c>
      <c r="F298" s="1" t="s">
        <v>29</v>
      </c>
      <c r="G298" s="1" t="s">
        <v>97</v>
      </c>
      <c r="H298" s="1" t="s">
        <v>398</v>
      </c>
      <c r="I298" s="1" t="s">
        <v>396</v>
      </c>
      <c r="J298" s="1" t="s">
        <v>46</v>
      </c>
      <c r="K298" s="1">
        <v>123</v>
      </c>
      <c r="L298" s="1">
        <v>23403</v>
      </c>
      <c r="M298" s="2">
        <f t="shared" si="69"/>
        <v>2878569</v>
      </c>
      <c r="N298" s="1">
        <v>518142.42</v>
      </c>
      <c r="O298" s="1">
        <f t="shared" si="70"/>
        <v>3396711.42</v>
      </c>
      <c r="P298" s="1">
        <v>6053</v>
      </c>
      <c r="Q298" s="1">
        <f t="shared" si="71"/>
        <v>3390658.42</v>
      </c>
      <c r="R298" s="1">
        <v>451625.25</v>
      </c>
      <c r="S298" s="1">
        <f t="shared" si="81"/>
        <v>180650.1</v>
      </c>
      <c r="T298" s="1">
        <f t="shared" si="72"/>
        <v>1174225.6499999999</v>
      </c>
      <c r="U298" s="1">
        <v>1806501</v>
      </c>
      <c r="V298" s="1">
        <f t="shared" si="68"/>
        <v>1584157.42</v>
      </c>
      <c r="W298" s="1">
        <v>4.9000000000000004</v>
      </c>
    </row>
    <row r="299" spans="1:23" x14ac:dyDescent="0.25">
      <c r="A299" s="1" t="s">
        <v>258</v>
      </c>
      <c r="B299" s="1" t="s">
        <v>58</v>
      </c>
      <c r="C299" s="1" t="s">
        <v>408</v>
      </c>
      <c r="D299" s="1" t="s">
        <v>74</v>
      </c>
      <c r="E299" s="1" t="s">
        <v>56</v>
      </c>
      <c r="F299" s="1" t="s">
        <v>29</v>
      </c>
      <c r="G299" s="1" t="s">
        <v>30</v>
      </c>
      <c r="H299" s="1" t="s">
        <v>398</v>
      </c>
      <c r="I299" s="1" t="s">
        <v>39</v>
      </c>
      <c r="J299" s="1" t="s">
        <v>26</v>
      </c>
      <c r="K299" s="1">
        <v>83</v>
      </c>
      <c r="L299" s="1">
        <v>6390</v>
      </c>
      <c r="M299" s="2">
        <f t="shared" si="69"/>
        <v>530370</v>
      </c>
      <c r="N299" s="1">
        <v>87829.27</v>
      </c>
      <c r="O299" s="1">
        <f t="shared" si="70"/>
        <v>618199.27</v>
      </c>
      <c r="P299" s="1">
        <v>7713</v>
      </c>
      <c r="Q299" s="1">
        <f t="shared" si="71"/>
        <v>610486.27</v>
      </c>
      <c r="R299" s="1">
        <v>175296</v>
      </c>
      <c r="S299" s="1">
        <f t="shared" si="81"/>
        <v>35059.200000000004</v>
      </c>
      <c r="T299" s="1">
        <f t="shared" si="72"/>
        <v>140236.79999999999</v>
      </c>
      <c r="U299" s="1">
        <v>350592</v>
      </c>
      <c r="V299" s="1">
        <f t="shared" si="68"/>
        <v>259894.27000000002</v>
      </c>
      <c r="W299" s="1">
        <v>4.9000000000000004</v>
      </c>
    </row>
    <row r="300" spans="1:23" x14ac:dyDescent="0.25">
      <c r="A300" s="1" t="s">
        <v>122</v>
      </c>
      <c r="B300" s="1" t="s">
        <v>21</v>
      </c>
      <c r="C300" s="1" t="s">
        <v>408</v>
      </c>
      <c r="D300" s="1" t="s">
        <v>62</v>
      </c>
      <c r="E300" s="1" t="s">
        <v>43</v>
      </c>
      <c r="F300" s="1" t="s">
        <v>29</v>
      </c>
      <c r="G300" s="1" t="s">
        <v>97</v>
      </c>
      <c r="H300" s="1" t="s">
        <v>399</v>
      </c>
      <c r="I300" s="1" t="s">
        <v>19</v>
      </c>
      <c r="J300" s="1" t="s">
        <v>26</v>
      </c>
      <c r="K300" s="1">
        <v>49</v>
      </c>
      <c r="L300" s="1">
        <v>16271</v>
      </c>
      <c r="M300" s="2">
        <f t="shared" si="69"/>
        <v>797279</v>
      </c>
      <c r="N300" s="1">
        <v>121983.69</v>
      </c>
      <c r="O300" s="1">
        <f t="shared" si="70"/>
        <v>919262.69</v>
      </c>
      <c r="P300" s="1">
        <v>5432</v>
      </c>
      <c r="Q300" s="1">
        <f t="shared" si="71"/>
        <v>913830.69</v>
      </c>
      <c r="R300" s="1">
        <v>313967.5</v>
      </c>
      <c r="S300" s="1">
        <f t="shared" si="81"/>
        <v>62793.5</v>
      </c>
      <c r="T300" s="1">
        <f t="shared" si="72"/>
        <v>251174</v>
      </c>
      <c r="U300" s="1">
        <v>627935</v>
      </c>
      <c r="V300" s="1">
        <f t="shared" si="68"/>
        <v>285895.68999999994</v>
      </c>
      <c r="W300" s="1">
        <v>4.4000000000000004</v>
      </c>
    </row>
    <row r="301" spans="1:23" x14ac:dyDescent="0.25">
      <c r="A301" s="1" t="s">
        <v>259</v>
      </c>
      <c r="B301" s="1" t="s">
        <v>37</v>
      </c>
      <c r="C301" s="1" t="s">
        <v>408</v>
      </c>
      <c r="D301" s="1" t="s">
        <v>52</v>
      </c>
      <c r="E301" s="1" t="s">
        <v>23</v>
      </c>
      <c r="F301" s="1" t="s">
        <v>17</v>
      </c>
      <c r="G301" s="1" t="s">
        <v>35</v>
      </c>
      <c r="H301" s="1" t="s">
        <v>399</v>
      </c>
      <c r="I301" s="1" t="s">
        <v>395</v>
      </c>
      <c r="J301" s="1" t="s">
        <v>26</v>
      </c>
      <c r="K301" s="1">
        <v>131</v>
      </c>
      <c r="L301" s="1">
        <v>4889</v>
      </c>
      <c r="M301" s="2">
        <f t="shared" si="69"/>
        <v>640459</v>
      </c>
      <c r="N301" s="1">
        <v>109518.49</v>
      </c>
      <c r="O301" s="1">
        <f t="shared" si="70"/>
        <v>749977.49</v>
      </c>
      <c r="P301" s="1">
        <v>7942</v>
      </c>
      <c r="Q301" s="1">
        <f t="shared" si="71"/>
        <v>742035.49</v>
      </c>
      <c r="R301" s="1">
        <f t="shared" ref="R301:R302" si="82">0.62*U301</f>
        <v>272899.20000000001</v>
      </c>
      <c r="S301" s="1">
        <f t="shared" ref="S301:S302" si="83">U301*0.2</f>
        <v>88032</v>
      </c>
      <c r="T301" s="1">
        <f t="shared" si="72"/>
        <v>79228.799999999988</v>
      </c>
      <c r="U301" s="1">
        <v>440160</v>
      </c>
      <c r="V301" s="1">
        <f t="shared" si="68"/>
        <v>301875.49</v>
      </c>
      <c r="W301" s="1">
        <v>4.5</v>
      </c>
    </row>
    <row r="302" spans="1:23" x14ac:dyDescent="0.25">
      <c r="A302" s="1" t="s">
        <v>232</v>
      </c>
      <c r="B302" s="1" t="s">
        <v>77</v>
      </c>
      <c r="C302" s="1" t="s">
        <v>408</v>
      </c>
      <c r="D302" s="1" t="s">
        <v>78</v>
      </c>
      <c r="E302" s="1" t="s">
        <v>49</v>
      </c>
      <c r="F302" s="1" t="s">
        <v>17</v>
      </c>
      <c r="G302" s="1" t="s">
        <v>72</v>
      </c>
      <c r="H302" s="1" t="s">
        <v>399</v>
      </c>
      <c r="I302" s="1" t="s">
        <v>397</v>
      </c>
      <c r="J302" s="1" t="s">
        <v>46</v>
      </c>
      <c r="K302" s="1">
        <v>111</v>
      </c>
      <c r="L302" s="1">
        <v>3394</v>
      </c>
      <c r="M302" s="2">
        <f t="shared" si="69"/>
        <v>376734</v>
      </c>
      <c r="N302" s="1">
        <v>57640.3</v>
      </c>
      <c r="O302" s="1">
        <f t="shared" si="70"/>
        <v>434374.3</v>
      </c>
      <c r="P302" s="1">
        <v>6245</v>
      </c>
      <c r="Q302" s="1">
        <f t="shared" si="71"/>
        <v>428129.3</v>
      </c>
      <c r="R302" s="1">
        <f t="shared" si="82"/>
        <v>172118.82</v>
      </c>
      <c r="S302" s="1">
        <f t="shared" si="83"/>
        <v>55522.200000000004</v>
      </c>
      <c r="T302" s="1">
        <f t="shared" si="72"/>
        <v>49969.979999999981</v>
      </c>
      <c r="U302" s="1">
        <v>277611</v>
      </c>
      <c r="V302" s="1">
        <f t="shared" si="68"/>
        <v>150518.29999999999</v>
      </c>
      <c r="W302" s="1">
        <v>3.6</v>
      </c>
    </row>
    <row r="303" spans="1:23" x14ac:dyDescent="0.25">
      <c r="A303" s="1" t="s">
        <v>108</v>
      </c>
      <c r="B303" s="1" t="s">
        <v>21</v>
      </c>
      <c r="C303" s="1" t="s">
        <v>408</v>
      </c>
      <c r="D303" s="1" t="s">
        <v>74</v>
      </c>
      <c r="E303" s="1" t="s">
        <v>56</v>
      </c>
      <c r="F303" s="1" t="s">
        <v>24</v>
      </c>
      <c r="G303" s="1" t="s">
        <v>143</v>
      </c>
      <c r="H303" s="1" t="s">
        <v>399</v>
      </c>
      <c r="I303" s="1" t="s">
        <v>395</v>
      </c>
      <c r="J303" s="1" t="s">
        <v>26</v>
      </c>
      <c r="K303" s="1">
        <v>58</v>
      </c>
      <c r="L303" s="1">
        <v>21433</v>
      </c>
      <c r="M303" s="2">
        <f t="shared" si="69"/>
        <v>1243114</v>
      </c>
      <c r="N303" s="1">
        <v>196909.26</v>
      </c>
      <c r="O303" s="1">
        <f t="shared" si="70"/>
        <v>1440023.26</v>
      </c>
      <c r="P303" s="1">
        <v>7524</v>
      </c>
      <c r="Q303" s="1">
        <f t="shared" si="71"/>
        <v>1432499.26</v>
      </c>
      <c r="R303" s="1">
        <v>245572</v>
      </c>
      <c r="S303" s="1">
        <f t="shared" si="73"/>
        <v>196457.60000000001</v>
      </c>
      <c r="T303" s="1">
        <f t="shared" si="72"/>
        <v>540258.4</v>
      </c>
      <c r="U303" s="1">
        <v>982288</v>
      </c>
      <c r="V303" s="1">
        <f t="shared" si="68"/>
        <v>450211.26</v>
      </c>
      <c r="W303" s="1">
        <v>3.6</v>
      </c>
    </row>
    <row r="304" spans="1:23" x14ac:dyDescent="0.25">
      <c r="A304" s="1" t="s">
        <v>154</v>
      </c>
      <c r="B304" s="1" t="s">
        <v>58</v>
      </c>
      <c r="C304" s="1" t="s">
        <v>408</v>
      </c>
      <c r="D304" s="1" t="s">
        <v>55</v>
      </c>
      <c r="E304" s="1" t="s">
        <v>56</v>
      </c>
      <c r="F304" s="1" t="s">
        <v>17</v>
      </c>
      <c r="G304" s="1" t="s">
        <v>72</v>
      </c>
      <c r="H304" s="1" t="s">
        <v>398</v>
      </c>
      <c r="I304" s="1" t="s">
        <v>19</v>
      </c>
      <c r="J304" s="1" t="s">
        <v>26</v>
      </c>
      <c r="K304" s="1">
        <v>11</v>
      </c>
      <c r="L304" s="1">
        <v>26240</v>
      </c>
      <c r="M304" s="2">
        <f t="shared" si="69"/>
        <v>288640</v>
      </c>
      <c r="N304" s="1">
        <v>51955.199999999997</v>
      </c>
      <c r="O304" s="1">
        <f t="shared" si="70"/>
        <v>340595.20000000001</v>
      </c>
      <c r="P304" s="1">
        <v>9974</v>
      </c>
      <c r="Q304" s="1">
        <f t="shared" si="71"/>
        <v>330621.2</v>
      </c>
      <c r="R304" s="1">
        <f>0.62*U304</f>
        <v>136243.13999999998</v>
      </c>
      <c r="S304" s="1">
        <f>U304*0.2</f>
        <v>43949.4</v>
      </c>
      <c r="T304" s="1">
        <f t="shared" si="72"/>
        <v>39554.460000000021</v>
      </c>
      <c r="U304" s="1">
        <v>219747</v>
      </c>
      <c r="V304" s="1">
        <f t="shared" si="68"/>
        <v>110874.20000000001</v>
      </c>
      <c r="W304" s="1">
        <v>4.2</v>
      </c>
    </row>
    <row r="305" spans="1:23" x14ac:dyDescent="0.25">
      <c r="A305" s="1" t="s">
        <v>108</v>
      </c>
      <c r="B305" s="1" t="s">
        <v>21</v>
      </c>
      <c r="C305" s="1" t="s">
        <v>408</v>
      </c>
      <c r="D305" s="1" t="s">
        <v>42</v>
      </c>
      <c r="E305" s="1" t="s">
        <v>43</v>
      </c>
      <c r="F305" s="1" t="s">
        <v>29</v>
      </c>
      <c r="G305" s="1" t="s">
        <v>97</v>
      </c>
      <c r="H305" s="1" t="s">
        <v>399</v>
      </c>
      <c r="I305" s="1" t="s">
        <v>39</v>
      </c>
      <c r="J305" s="1" t="s">
        <v>46</v>
      </c>
      <c r="K305" s="1">
        <v>183</v>
      </c>
      <c r="L305" s="1">
        <v>5941</v>
      </c>
      <c r="M305" s="2">
        <f t="shared" si="69"/>
        <v>1087203</v>
      </c>
      <c r="N305" s="1">
        <v>195696.54</v>
      </c>
      <c r="O305" s="1">
        <f t="shared" si="70"/>
        <v>1282899.54</v>
      </c>
      <c r="P305" s="1">
        <v>6588</v>
      </c>
      <c r="Q305" s="1">
        <f t="shared" si="71"/>
        <v>1276311.54</v>
      </c>
      <c r="R305" s="1">
        <v>615566.25</v>
      </c>
      <c r="S305" s="1">
        <f>U305*0.1</f>
        <v>82075.5</v>
      </c>
      <c r="T305" s="1">
        <f t="shared" si="72"/>
        <v>123113.25</v>
      </c>
      <c r="U305" s="1">
        <v>820755</v>
      </c>
      <c r="V305" s="1">
        <f t="shared" si="68"/>
        <v>455556.54000000004</v>
      </c>
      <c r="W305" s="1">
        <v>4.9000000000000004</v>
      </c>
    </row>
    <row r="306" spans="1:23" x14ac:dyDescent="0.25">
      <c r="A306" s="1" t="s">
        <v>194</v>
      </c>
      <c r="B306" s="1" t="s">
        <v>58</v>
      </c>
      <c r="C306" s="1" t="s">
        <v>408</v>
      </c>
      <c r="D306" s="1" t="s">
        <v>74</v>
      </c>
      <c r="E306" s="1" t="s">
        <v>56</v>
      </c>
      <c r="F306" s="1" t="s">
        <v>59</v>
      </c>
      <c r="G306" s="1" t="s">
        <v>103</v>
      </c>
      <c r="H306" s="1" t="s">
        <v>399</v>
      </c>
      <c r="I306" s="1" t="s">
        <v>39</v>
      </c>
      <c r="J306" s="1" t="s">
        <v>26</v>
      </c>
      <c r="K306" s="1">
        <v>39</v>
      </c>
      <c r="L306" s="1">
        <v>16957</v>
      </c>
      <c r="M306" s="2">
        <f t="shared" si="69"/>
        <v>661323</v>
      </c>
      <c r="N306" s="1">
        <v>119038.14</v>
      </c>
      <c r="O306" s="1">
        <f t="shared" si="70"/>
        <v>780361.14</v>
      </c>
      <c r="P306" s="1">
        <v>8640</v>
      </c>
      <c r="Q306" s="1">
        <f t="shared" si="71"/>
        <v>771721.14</v>
      </c>
      <c r="R306" s="1">
        <f>0.7*U306</f>
        <v>344089.19999999995</v>
      </c>
      <c r="S306" s="1">
        <f t="shared" si="73"/>
        <v>98311.200000000012</v>
      </c>
      <c r="T306" s="1">
        <f t="shared" si="72"/>
        <v>49155.600000000035</v>
      </c>
      <c r="U306" s="1">
        <v>491556</v>
      </c>
      <c r="V306" s="1">
        <f t="shared" si="68"/>
        <v>280165.14</v>
      </c>
      <c r="W306" s="1">
        <v>4.0999999999999996</v>
      </c>
    </row>
    <row r="307" spans="1:23" x14ac:dyDescent="0.25">
      <c r="A307" s="1" t="s">
        <v>173</v>
      </c>
      <c r="B307" s="1" t="s">
        <v>69</v>
      </c>
      <c r="C307" s="1" t="s">
        <v>408</v>
      </c>
      <c r="D307" s="1" t="s">
        <v>74</v>
      </c>
      <c r="E307" s="1" t="s">
        <v>56</v>
      </c>
      <c r="F307" s="1" t="s">
        <v>24</v>
      </c>
      <c r="G307" s="1" t="s">
        <v>63</v>
      </c>
      <c r="H307" s="1" t="s">
        <v>398</v>
      </c>
      <c r="I307" s="1" t="s">
        <v>397</v>
      </c>
      <c r="J307" s="1" t="s">
        <v>46</v>
      </c>
      <c r="K307" s="1">
        <v>121</v>
      </c>
      <c r="L307" s="1">
        <v>24806</v>
      </c>
      <c r="M307" s="2">
        <f t="shared" si="69"/>
        <v>3001526</v>
      </c>
      <c r="N307" s="1">
        <v>513260.95</v>
      </c>
      <c r="O307" s="1">
        <f t="shared" si="70"/>
        <v>3514786.95</v>
      </c>
      <c r="P307" s="1">
        <v>5324</v>
      </c>
      <c r="Q307" s="1">
        <f t="shared" si="71"/>
        <v>3509462.95</v>
      </c>
      <c r="R307" s="1">
        <v>995346</v>
      </c>
      <c r="S307" s="1">
        <f t="shared" si="73"/>
        <v>398138.4</v>
      </c>
      <c r="T307" s="1">
        <f t="shared" si="72"/>
        <v>597207.60000000009</v>
      </c>
      <c r="U307" s="1">
        <v>1990692</v>
      </c>
      <c r="V307" s="1">
        <f t="shared" si="68"/>
        <v>1518770.9500000002</v>
      </c>
      <c r="W307" s="1">
        <v>3.8</v>
      </c>
    </row>
    <row r="308" spans="1:23" x14ac:dyDescent="0.25">
      <c r="A308" s="1" t="s">
        <v>136</v>
      </c>
      <c r="B308" s="1" t="s">
        <v>21</v>
      </c>
      <c r="C308" s="1" t="s">
        <v>408</v>
      </c>
      <c r="D308" s="1" t="s">
        <v>62</v>
      </c>
      <c r="E308" s="1" t="s">
        <v>43</v>
      </c>
      <c r="F308" s="1" t="s">
        <v>59</v>
      </c>
      <c r="G308" s="1" t="s">
        <v>121</v>
      </c>
      <c r="H308" s="1" t="s">
        <v>398</v>
      </c>
      <c r="I308" s="1" t="s">
        <v>397</v>
      </c>
      <c r="J308" s="1" t="s">
        <v>46</v>
      </c>
      <c r="K308" s="1">
        <v>75</v>
      </c>
      <c r="L308" s="1">
        <v>27507</v>
      </c>
      <c r="M308" s="2">
        <f t="shared" si="69"/>
        <v>2063025</v>
      </c>
      <c r="N308" s="1">
        <v>326783.15999999997</v>
      </c>
      <c r="O308" s="1">
        <f t="shared" si="70"/>
        <v>2389808.16</v>
      </c>
      <c r="P308" s="1">
        <v>9965</v>
      </c>
      <c r="Q308" s="1">
        <f t="shared" si="71"/>
        <v>2379843.16</v>
      </c>
      <c r="R308" s="1">
        <f>0.7*U308</f>
        <v>1066852.5</v>
      </c>
      <c r="S308" s="1">
        <f t="shared" si="73"/>
        <v>304815</v>
      </c>
      <c r="T308" s="1">
        <f t="shared" si="72"/>
        <v>152407.5</v>
      </c>
      <c r="U308" s="1">
        <v>1524075</v>
      </c>
      <c r="V308" s="1">
        <f t="shared" si="68"/>
        <v>855768.16000000015</v>
      </c>
      <c r="W308" s="1">
        <v>4.3</v>
      </c>
    </row>
    <row r="309" spans="1:23" x14ac:dyDescent="0.25">
      <c r="A309" s="1" t="s">
        <v>214</v>
      </c>
      <c r="B309" s="1" t="s">
        <v>37</v>
      </c>
      <c r="C309" s="1" t="s">
        <v>408</v>
      </c>
      <c r="D309" s="1" t="s">
        <v>74</v>
      </c>
      <c r="E309" s="1" t="s">
        <v>56</v>
      </c>
      <c r="F309" s="1" t="s">
        <v>24</v>
      </c>
      <c r="G309" s="1" t="s">
        <v>143</v>
      </c>
      <c r="H309" s="1" t="s">
        <v>398</v>
      </c>
      <c r="I309" s="1" t="s">
        <v>397</v>
      </c>
      <c r="J309" s="1" t="s">
        <v>26</v>
      </c>
      <c r="K309" s="1">
        <v>151</v>
      </c>
      <c r="L309" s="1">
        <v>2335</v>
      </c>
      <c r="M309" s="2">
        <f t="shared" si="69"/>
        <v>352585</v>
      </c>
      <c r="N309" s="1">
        <v>53945.5</v>
      </c>
      <c r="O309" s="1">
        <f t="shared" si="70"/>
        <v>406530.5</v>
      </c>
      <c r="P309" s="1">
        <v>9983</v>
      </c>
      <c r="Q309" s="1">
        <f t="shared" si="71"/>
        <v>396547.5</v>
      </c>
      <c r="R309" s="1">
        <v>55492.5</v>
      </c>
      <c r="S309" s="1">
        <f t="shared" si="73"/>
        <v>44394</v>
      </c>
      <c r="T309" s="1">
        <f t="shared" si="72"/>
        <v>122083.5</v>
      </c>
      <c r="U309" s="1">
        <v>221970</v>
      </c>
      <c r="V309" s="1">
        <f t="shared" si="68"/>
        <v>174577.5</v>
      </c>
      <c r="W309" s="1">
        <v>4.5</v>
      </c>
    </row>
    <row r="310" spans="1:23" x14ac:dyDescent="0.25">
      <c r="A310" s="1" t="s">
        <v>260</v>
      </c>
      <c r="B310" s="1" t="s">
        <v>69</v>
      </c>
      <c r="C310" s="1" t="s">
        <v>408</v>
      </c>
      <c r="D310" s="1" t="s">
        <v>62</v>
      </c>
      <c r="E310" s="1" t="s">
        <v>43</v>
      </c>
      <c r="F310" s="1" t="s">
        <v>29</v>
      </c>
      <c r="G310" s="1" t="s">
        <v>91</v>
      </c>
      <c r="H310" s="1" t="s">
        <v>399</v>
      </c>
      <c r="I310" s="1" t="s">
        <v>39</v>
      </c>
      <c r="J310" s="1" t="s">
        <v>26</v>
      </c>
      <c r="K310" s="1">
        <v>140</v>
      </c>
      <c r="L310" s="1">
        <v>32172</v>
      </c>
      <c r="M310" s="2">
        <f t="shared" si="69"/>
        <v>4504080</v>
      </c>
      <c r="N310" s="1">
        <v>689124.24</v>
      </c>
      <c r="O310" s="1">
        <f t="shared" si="70"/>
        <v>5193204.24</v>
      </c>
      <c r="P310" s="1">
        <v>8372</v>
      </c>
      <c r="Q310" s="1">
        <f t="shared" si="71"/>
        <v>5184832.24</v>
      </c>
      <c r="R310" s="1">
        <v>715330</v>
      </c>
      <c r="S310" s="1">
        <f>U310*0.1</f>
        <v>286132</v>
      </c>
      <c r="T310" s="1">
        <f t="shared" si="72"/>
        <v>1859858</v>
      </c>
      <c r="U310" s="1">
        <v>2861320</v>
      </c>
      <c r="V310" s="1">
        <f t="shared" si="68"/>
        <v>2323512.2400000002</v>
      </c>
      <c r="W310" s="1">
        <v>4.8</v>
      </c>
    </row>
    <row r="311" spans="1:23" x14ac:dyDescent="0.25">
      <c r="A311" s="1" t="s">
        <v>156</v>
      </c>
      <c r="B311" s="1" t="s">
        <v>109</v>
      </c>
      <c r="C311" s="1" t="s">
        <v>408</v>
      </c>
      <c r="D311" s="1" t="s">
        <v>62</v>
      </c>
      <c r="E311" s="1" t="s">
        <v>43</v>
      </c>
      <c r="F311" s="1" t="s">
        <v>17</v>
      </c>
      <c r="G311" s="1" t="s">
        <v>18</v>
      </c>
      <c r="H311" s="1" t="s">
        <v>399</v>
      </c>
      <c r="I311" s="1" t="s">
        <v>395</v>
      </c>
      <c r="J311" s="1" t="s">
        <v>46</v>
      </c>
      <c r="K311" s="1">
        <v>111</v>
      </c>
      <c r="L311" s="1">
        <v>6332</v>
      </c>
      <c r="M311" s="2">
        <f t="shared" si="69"/>
        <v>702852</v>
      </c>
      <c r="N311" s="1">
        <v>107536.36</v>
      </c>
      <c r="O311" s="1">
        <f t="shared" si="70"/>
        <v>810388.36</v>
      </c>
      <c r="P311" s="1">
        <v>8489</v>
      </c>
      <c r="Q311" s="1">
        <f t="shared" si="71"/>
        <v>801899.36</v>
      </c>
      <c r="R311" s="1">
        <f t="shared" ref="R311:R314" si="84">0.62*U311</f>
        <v>296889.48</v>
      </c>
      <c r="S311" s="1">
        <f t="shared" ref="S311:S314" si="85">U311*0.2</f>
        <v>95770.8</v>
      </c>
      <c r="T311" s="1">
        <f t="shared" si="72"/>
        <v>86193.72000000003</v>
      </c>
      <c r="U311" s="1">
        <v>478854</v>
      </c>
      <c r="V311" s="1">
        <f t="shared" si="68"/>
        <v>323045.36</v>
      </c>
      <c r="W311" s="1">
        <v>4.5</v>
      </c>
    </row>
    <row r="312" spans="1:23" x14ac:dyDescent="0.25">
      <c r="A312" s="1" t="s">
        <v>111</v>
      </c>
      <c r="B312" s="1" t="s">
        <v>14</v>
      </c>
      <c r="C312" s="1" t="s">
        <v>408</v>
      </c>
      <c r="D312" s="1" t="s">
        <v>42</v>
      </c>
      <c r="E312" s="1" t="s">
        <v>43</v>
      </c>
      <c r="F312" s="1" t="s">
        <v>17</v>
      </c>
      <c r="G312" s="1" t="s">
        <v>35</v>
      </c>
      <c r="H312" s="1" t="s">
        <v>398</v>
      </c>
      <c r="I312" s="1" t="s">
        <v>397</v>
      </c>
      <c r="J312" s="1" t="s">
        <v>26</v>
      </c>
      <c r="K312" s="1">
        <v>132</v>
      </c>
      <c r="L312" s="1">
        <v>30585</v>
      </c>
      <c r="M312" s="2">
        <f t="shared" si="69"/>
        <v>4037220</v>
      </c>
      <c r="N312" s="1">
        <v>668563.63</v>
      </c>
      <c r="O312" s="1">
        <f t="shared" si="70"/>
        <v>4705783.63</v>
      </c>
      <c r="P312" s="1">
        <v>8503</v>
      </c>
      <c r="Q312" s="1">
        <f t="shared" si="71"/>
        <v>4697280.63</v>
      </c>
      <c r="R312" s="1">
        <f t="shared" si="84"/>
        <v>1836898.8</v>
      </c>
      <c r="S312" s="1">
        <f t="shared" si="85"/>
        <v>592548</v>
      </c>
      <c r="T312" s="1">
        <f t="shared" si="72"/>
        <v>533293.19999999995</v>
      </c>
      <c r="U312" s="1">
        <v>2962740</v>
      </c>
      <c r="V312" s="1">
        <f t="shared" si="68"/>
        <v>1734540.63</v>
      </c>
      <c r="W312" s="1">
        <v>4.8</v>
      </c>
    </row>
    <row r="313" spans="1:23" x14ac:dyDescent="0.25">
      <c r="A313" s="1" t="s">
        <v>234</v>
      </c>
      <c r="B313" s="1" t="s">
        <v>77</v>
      </c>
      <c r="C313" s="1" t="s">
        <v>408</v>
      </c>
      <c r="D313" s="1" t="s">
        <v>74</v>
      </c>
      <c r="E313" s="1" t="s">
        <v>56</v>
      </c>
      <c r="F313" s="1" t="s">
        <v>17</v>
      </c>
      <c r="G313" s="1" t="s">
        <v>18</v>
      </c>
      <c r="H313" s="1" t="s">
        <v>399</v>
      </c>
      <c r="I313" s="1" t="s">
        <v>397</v>
      </c>
      <c r="J313" s="1" t="s">
        <v>46</v>
      </c>
      <c r="K313" s="1">
        <v>190</v>
      </c>
      <c r="L313" s="1">
        <v>22300</v>
      </c>
      <c r="M313" s="2">
        <f t="shared" si="69"/>
        <v>4237000</v>
      </c>
      <c r="N313" s="1">
        <v>701647.2</v>
      </c>
      <c r="O313" s="1">
        <f t="shared" si="70"/>
        <v>4938647.2</v>
      </c>
      <c r="P313" s="1">
        <v>5651</v>
      </c>
      <c r="Q313" s="1">
        <f t="shared" si="71"/>
        <v>4932996.2</v>
      </c>
      <c r="R313" s="1">
        <f t="shared" si="84"/>
        <v>1688780.8</v>
      </c>
      <c r="S313" s="1">
        <f t="shared" si="85"/>
        <v>544768</v>
      </c>
      <c r="T313" s="1">
        <f t="shared" si="72"/>
        <v>490291.19999999995</v>
      </c>
      <c r="U313" s="1">
        <v>2723840</v>
      </c>
      <c r="V313" s="1">
        <f t="shared" si="68"/>
        <v>2209156.2000000002</v>
      </c>
      <c r="W313" s="1">
        <v>3.6</v>
      </c>
    </row>
    <row r="314" spans="1:23" x14ac:dyDescent="0.25">
      <c r="A314" s="1" t="s">
        <v>261</v>
      </c>
      <c r="B314" s="1" t="s">
        <v>21</v>
      </c>
      <c r="C314" s="1" t="s">
        <v>408</v>
      </c>
      <c r="D314" s="1" t="s">
        <v>42</v>
      </c>
      <c r="E314" s="1" t="s">
        <v>43</v>
      </c>
      <c r="F314" s="1" t="s">
        <v>17</v>
      </c>
      <c r="G314" s="1" t="s">
        <v>38</v>
      </c>
      <c r="H314" s="1" t="s">
        <v>399</v>
      </c>
      <c r="I314" s="1" t="s">
        <v>395</v>
      </c>
      <c r="J314" s="1" t="s">
        <v>26</v>
      </c>
      <c r="K314" s="1">
        <v>152</v>
      </c>
      <c r="L314" s="1">
        <v>27814</v>
      </c>
      <c r="M314" s="2">
        <f t="shared" si="69"/>
        <v>4227728</v>
      </c>
      <c r="N314" s="1">
        <v>722941.49</v>
      </c>
      <c r="O314" s="1">
        <f t="shared" si="70"/>
        <v>4950669.49</v>
      </c>
      <c r="P314" s="1">
        <v>8635</v>
      </c>
      <c r="Q314" s="1">
        <f t="shared" si="71"/>
        <v>4942034.49</v>
      </c>
      <c r="R314" s="1">
        <f t="shared" si="84"/>
        <v>1792350.56</v>
      </c>
      <c r="S314" s="1">
        <f t="shared" si="85"/>
        <v>578177.6</v>
      </c>
      <c r="T314" s="1">
        <f t="shared" si="72"/>
        <v>520359.83999999985</v>
      </c>
      <c r="U314" s="1">
        <v>2890888</v>
      </c>
      <c r="V314" s="1">
        <f t="shared" si="68"/>
        <v>2051146.4900000002</v>
      </c>
      <c r="W314" s="1">
        <v>4.5</v>
      </c>
    </row>
    <row r="315" spans="1:23" x14ac:dyDescent="0.25">
      <c r="A315" s="1" t="s">
        <v>251</v>
      </c>
      <c r="B315" s="1" t="s">
        <v>69</v>
      </c>
      <c r="C315" s="1" t="s">
        <v>408</v>
      </c>
      <c r="D315" s="1" t="s">
        <v>78</v>
      </c>
      <c r="E315" s="1" t="s">
        <v>49</v>
      </c>
      <c r="F315" s="1" t="s">
        <v>24</v>
      </c>
      <c r="G315" s="1" t="s">
        <v>143</v>
      </c>
      <c r="H315" s="1" t="s">
        <v>399</v>
      </c>
      <c r="I315" s="1" t="s">
        <v>39</v>
      </c>
      <c r="J315" s="1" t="s">
        <v>26</v>
      </c>
      <c r="K315" s="1">
        <v>180</v>
      </c>
      <c r="L315" s="1">
        <v>1685</v>
      </c>
      <c r="M315" s="2">
        <f t="shared" si="69"/>
        <v>303300</v>
      </c>
      <c r="N315" s="1">
        <v>50226.48</v>
      </c>
      <c r="O315" s="1">
        <f t="shared" si="70"/>
        <v>353526.48</v>
      </c>
      <c r="P315" s="1">
        <v>7523</v>
      </c>
      <c r="Q315" s="1">
        <f t="shared" si="71"/>
        <v>346003.48</v>
      </c>
      <c r="R315" s="1">
        <v>98010</v>
      </c>
      <c r="S315" s="1">
        <f t="shared" si="73"/>
        <v>39204</v>
      </c>
      <c r="T315" s="1">
        <f t="shared" si="72"/>
        <v>58806</v>
      </c>
      <c r="U315" s="1">
        <v>196020</v>
      </c>
      <c r="V315" s="1">
        <f t="shared" si="68"/>
        <v>149983.47999999998</v>
      </c>
      <c r="W315" s="1">
        <v>3.7</v>
      </c>
    </row>
    <row r="316" spans="1:23" x14ac:dyDescent="0.25">
      <c r="A316" s="1" t="s">
        <v>168</v>
      </c>
      <c r="B316" s="1" t="s">
        <v>69</v>
      </c>
      <c r="C316" s="1" t="s">
        <v>408</v>
      </c>
      <c r="D316" s="1" t="s">
        <v>78</v>
      </c>
      <c r="E316" s="1" t="s">
        <v>49</v>
      </c>
      <c r="F316" s="1" t="s">
        <v>59</v>
      </c>
      <c r="G316" s="1" t="s">
        <v>121</v>
      </c>
      <c r="H316" s="1" t="s">
        <v>398</v>
      </c>
      <c r="I316" s="1" t="s">
        <v>39</v>
      </c>
      <c r="J316" s="1" t="s">
        <v>26</v>
      </c>
      <c r="K316" s="1">
        <v>84</v>
      </c>
      <c r="L316" s="1">
        <v>26457</v>
      </c>
      <c r="M316" s="2">
        <f t="shared" si="69"/>
        <v>2222388</v>
      </c>
      <c r="N316" s="1">
        <v>352026.26</v>
      </c>
      <c r="O316" s="1">
        <f t="shared" si="70"/>
        <v>2574414.2599999998</v>
      </c>
      <c r="P316" s="1">
        <v>7387</v>
      </c>
      <c r="Q316" s="1">
        <f t="shared" si="71"/>
        <v>2567027.2599999998</v>
      </c>
      <c r="R316" s="1">
        <f>0.7*U316</f>
        <v>1210692</v>
      </c>
      <c r="S316" s="1">
        <f t="shared" si="73"/>
        <v>345912</v>
      </c>
      <c r="T316" s="1">
        <f t="shared" si="72"/>
        <v>172956</v>
      </c>
      <c r="U316" s="1">
        <v>1729560</v>
      </c>
      <c r="V316" s="1">
        <f t="shared" si="68"/>
        <v>837467.25999999978</v>
      </c>
      <c r="W316" s="1">
        <v>4.2</v>
      </c>
    </row>
    <row r="317" spans="1:23" x14ac:dyDescent="0.25">
      <c r="A317" s="1" t="s">
        <v>262</v>
      </c>
      <c r="B317" s="1" t="s">
        <v>28</v>
      </c>
      <c r="C317" s="1" t="s">
        <v>408</v>
      </c>
      <c r="D317" s="1" t="s">
        <v>22</v>
      </c>
      <c r="E317" s="1" t="s">
        <v>23</v>
      </c>
      <c r="F317" s="1" t="s">
        <v>29</v>
      </c>
      <c r="G317" s="1" t="s">
        <v>97</v>
      </c>
      <c r="H317" s="1" t="s">
        <v>398</v>
      </c>
      <c r="I317" s="1" t="s">
        <v>396</v>
      </c>
      <c r="J317" s="1" t="s">
        <v>46</v>
      </c>
      <c r="K317" s="1">
        <v>57</v>
      </c>
      <c r="L317" s="1">
        <v>23670</v>
      </c>
      <c r="M317" s="2">
        <f t="shared" si="69"/>
        <v>1349190</v>
      </c>
      <c r="N317" s="1">
        <v>223425.86</v>
      </c>
      <c r="O317" s="1">
        <f t="shared" si="70"/>
        <v>1572615.8599999999</v>
      </c>
      <c r="P317" s="1">
        <v>8983</v>
      </c>
      <c r="Q317" s="1">
        <f t="shared" si="71"/>
        <v>1563632.8599999999</v>
      </c>
      <c r="R317" s="1">
        <v>495187.5</v>
      </c>
      <c r="S317" s="1">
        <f t="shared" ref="S317:S321" si="86">U317*0.1</f>
        <v>99037.5</v>
      </c>
      <c r="T317" s="1">
        <f t="shared" si="72"/>
        <v>396150</v>
      </c>
      <c r="U317" s="1">
        <v>990375</v>
      </c>
      <c r="V317" s="1">
        <f t="shared" si="68"/>
        <v>573257.85999999987</v>
      </c>
      <c r="W317" s="1">
        <v>3.9</v>
      </c>
    </row>
    <row r="318" spans="1:23" x14ac:dyDescent="0.25">
      <c r="A318" s="1" t="s">
        <v>151</v>
      </c>
      <c r="B318" s="1" t="s">
        <v>77</v>
      </c>
      <c r="C318" s="1" t="s">
        <v>408</v>
      </c>
      <c r="D318" s="1" t="s">
        <v>48</v>
      </c>
      <c r="E318" s="1" t="s">
        <v>49</v>
      </c>
      <c r="F318" s="1" t="s">
        <v>29</v>
      </c>
      <c r="G318" s="1" t="s">
        <v>91</v>
      </c>
      <c r="H318" s="1" t="s">
        <v>398</v>
      </c>
      <c r="I318" s="1" t="s">
        <v>395</v>
      </c>
      <c r="J318" s="1" t="s">
        <v>46</v>
      </c>
      <c r="K318" s="1">
        <v>199</v>
      </c>
      <c r="L318" s="1">
        <v>32536</v>
      </c>
      <c r="M318" s="2">
        <f t="shared" si="69"/>
        <v>6474664</v>
      </c>
      <c r="N318" s="1">
        <v>1107167.54</v>
      </c>
      <c r="O318" s="1">
        <f t="shared" si="70"/>
        <v>7581831.54</v>
      </c>
      <c r="P318" s="1">
        <v>7886</v>
      </c>
      <c r="Q318" s="1">
        <f t="shared" si="71"/>
        <v>7573945.54</v>
      </c>
      <c r="R318" s="1">
        <v>2367901</v>
      </c>
      <c r="S318" s="1">
        <f t="shared" si="86"/>
        <v>473580.2</v>
      </c>
      <c r="T318" s="1">
        <f t="shared" si="72"/>
        <v>1894320.7999999998</v>
      </c>
      <c r="U318" s="1">
        <v>4735802</v>
      </c>
      <c r="V318" s="1">
        <f t="shared" si="68"/>
        <v>2838143.54</v>
      </c>
      <c r="W318" s="1">
        <v>3.8</v>
      </c>
    </row>
    <row r="319" spans="1:23" x14ac:dyDescent="0.25">
      <c r="A319" s="1" t="s">
        <v>195</v>
      </c>
      <c r="B319" s="1" t="s">
        <v>51</v>
      </c>
      <c r="C319" s="1" t="s">
        <v>408</v>
      </c>
      <c r="D319" s="1" t="s">
        <v>15</v>
      </c>
      <c r="E319" s="1" t="s">
        <v>16</v>
      </c>
      <c r="F319" s="1" t="s">
        <v>29</v>
      </c>
      <c r="G319" s="1" t="s">
        <v>97</v>
      </c>
      <c r="H319" s="1" t="s">
        <v>399</v>
      </c>
      <c r="I319" s="1" t="s">
        <v>397</v>
      </c>
      <c r="J319" s="1" t="s">
        <v>26</v>
      </c>
      <c r="K319" s="1">
        <v>195</v>
      </c>
      <c r="L319" s="1">
        <v>24881</v>
      </c>
      <c r="M319" s="2">
        <f t="shared" si="69"/>
        <v>4851795</v>
      </c>
      <c r="N319" s="1">
        <v>742324.64</v>
      </c>
      <c r="O319" s="1">
        <f t="shared" si="70"/>
        <v>5594119.6399999997</v>
      </c>
      <c r="P319" s="1">
        <v>9711</v>
      </c>
      <c r="Q319" s="1">
        <f t="shared" si="71"/>
        <v>5584408.6399999997</v>
      </c>
      <c r="R319" s="1">
        <v>1915095</v>
      </c>
      <c r="S319" s="1">
        <f t="shared" si="86"/>
        <v>383019</v>
      </c>
      <c r="T319" s="1">
        <f t="shared" si="72"/>
        <v>1532076</v>
      </c>
      <c r="U319" s="1">
        <v>3830190</v>
      </c>
      <c r="V319" s="1">
        <f t="shared" si="68"/>
        <v>1754218.6399999997</v>
      </c>
      <c r="W319" s="1">
        <v>4.3</v>
      </c>
    </row>
    <row r="320" spans="1:23" x14ac:dyDescent="0.25">
      <c r="A320" s="1" t="s">
        <v>263</v>
      </c>
      <c r="B320" s="1" t="s">
        <v>21</v>
      </c>
      <c r="C320" s="1" t="s">
        <v>408</v>
      </c>
      <c r="D320" s="1" t="s">
        <v>42</v>
      </c>
      <c r="E320" s="1" t="s">
        <v>43</v>
      </c>
      <c r="F320" s="1" t="s">
        <v>29</v>
      </c>
      <c r="G320" s="1" t="s">
        <v>91</v>
      </c>
      <c r="H320" s="1" t="s">
        <v>398</v>
      </c>
      <c r="I320" s="1" t="s">
        <v>395</v>
      </c>
      <c r="J320" s="1" t="s">
        <v>46</v>
      </c>
      <c r="K320" s="1">
        <v>96</v>
      </c>
      <c r="L320" s="1">
        <v>12183</v>
      </c>
      <c r="M320" s="2">
        <f t="shared" si="69"/>
        <v>1169568</v>
      </c>
      <c r="N320" s="1">
        <v>193680.46</v>
      </c>
      <c r="O320" s="1">
        <f t="shared" si="70"/>
        <v>1363248.46</v>
      </c>
      <c r="P320" s="1">
        <v>5860</v>
      </c>
      <c r="Q320" s="1">
        <f t="shared" si="71"/>
        <v>1357388.46</v>
      </c>
      <c r="R320" s="1">
        <v>216480</v>
      </c>
      <c r="S320" s="1">
        <f t="shared" si="86"/>
        <v>86592</v>
      </c>
      <c r="T320" s="1">
        <f t="shared" si="72"/>
        <v>562848</v>
      </c>
      <c r="U320" s="1">
        <v>865920</v>
      </c>
      <c r="V320" s="1">
        <f t="shared" si="68"/>
        <v>491468.45999999996</v>
      </c>
      <c r="W320" s="1">
        <v>4.5</v>
      </c>
    </row>
    <row r="321" spans="1:23" x14ac:dyDescent="0.25">
      <c r="A321" s="1" t="s">
        <v>264</v>
      </c>
      <c r="B321" s="1" t="s">
        <v>109</v>
      </c>
      <c r="C321" s="1" t="s">
        <v>408</v>
      </c>
      <c r="D321" s="1" t="s">
        <v>22</v>
      </c>
      <c r="E321" s="1" t="s">
        <v>23</v>
      </c>
      <c r="F321" s="1" t="s">
        <v>29</v>
      </c>
      <c r="G321" s="1" t="s">
        <v>91</v>
      </c>
      <c r="H321" s="1" t="s">
        <v>399</v>
      </c>
      <c r="I321" s="1" t="s">
        <v>19</v>
      </c>
      <c r="J321" s="1" t="s">
        <v>26</v>
      </c>
      <c r="K321" s="1">
        <v>175</v>
      </c>
      <c r="L321" s="1">
        <v>26831</v>
      </c>
      <c r="M321" s="2">
        <f t="shared" si="69"/>
        <v>4695425</v>
      </c>
      <c r="N321" s="1">
        <v>845176.5</v>
      </c>
      <c r="O321" s="1">
        <f t="shared" si="70"/>
        <v>5540601.5</v>
      </c>
      <c r="P321" s="1">
        <v>8307</v>
      </c>
      <c r="Q321" s="1">
        <f t="shared" si="71"/>
        <v>5532294.5</v>
      </c>
      <c r="R321" s="1">
        <v>888300</v>
      </c>
      <c r="S321" s="1">
        <f t="shared" si="86"/>
        <v>355320</v>
      </c>
      <c r="T321" s="1">
        <f t="shared" si="72"/>
        <v>2309580</v>
      </c>
      <c r="U321" s="1">
        <v>3553200</v>
      </c>
      <c r="V321" s="1">
        <f t="shared" si="68"/>
        <v>1979094.5</v>
      </c>
      <c r="W321" s="1">
        <v>4.3</v>
      </c>
    </row>
    <row r="322" spans="1:23" x14ac:dyDescent="0.25">
      <c r="A322" s="1" t="s">
        <v>265</v>
      </c>
      <c r="B322" s="1" t="s">
        <v>34</v>
      </c>
      <c r="C322" s="1" t="s">
        <v>408</v>
      </c>
      <c r="D322" s="1" t="s">
        <v>74</v>
      </c>
      <c r="E322" s="1" t="s">
        <v>56</v>
      </c>
      <c r="F322" s="1" t="s">
        <v>59</v>
      </c>
      <c r="G322" s="1" t="s">
        <v>85</v>
      </c>
      <c r="H322" s="1" t="s">
        <v>398</v>
      </c>
      <c r="I322" s="1" t="s">
        <v>395</v>
      </c>
      <c r="J322" s="1" t="s">
        <v>46</v>
      </c>
      <c r="K322" s="1">
        <v>46</v>
      </c>
      <c r="L322" s="1">
        <v>3532</v>
      </c>
      <c r="M322" s="2">
        <f t="shared" si="69"/>
        <v>162472</v>
      </c>
      <c r="N322" s="1">
        <v>29244.959999999999</v>
      </c>
      <c r="O322" s="1">
        <f t="shared" si="70"/>
        <v>191716.96</v>
      </c>
      <c r="P322" s="1">
        <v>8663</v>
      </c>
      <c r="Q322" s="1">
        <f t="shared" si="71"/>
        <v>183053.96</v>
      </c>
      <c r="R322" s="1">
        <f>0.7*U322</f>
        <v>79115.399999999994</v>
      </c>
      <c r="S322" s="1">
        <f t="shared" si="73"/>
        <v>22604.400000000001</v>
      </c>
      <c r="T322" s="1">
        <f t="shared" si="72"/>
        <v>11302.200000000012</v>
      </c>
      <c r="U322" s="1">
        <v>113022</v>
      </c>
      <c r="V322" s="1">
        <f t="shared" si="68"/>
        <v>70031.959999999992</v>
      </c>
      <c r="W322" s="1">
        <v>4.8</v>
      </c>
    </row>
    <row r="323" spans="1:23" x14ac:dyDescent="0.25">
      <c r="A323" s="1" t="s">
        <v>266</v>
      </c>
      <c r="B323" s="1" t="s">
        <v>51</v>
      </c>
      <c r="C323" s="1" t="s">
        <v>408</v>
      </c>
      <c r="D323" s="1" t="s">
        <v>48</v>
      </c>
      <c r="E323" s="1" t="s">
        <v>49</v>
      </c>
      <c r="F323" s="1" t="s">
        <v>17</v>
      </c>
      <c r="G323" s="1" t="s">
        <v>35</v>
      </c>
      <c r="H323" s="1" t="s">
        <v>398</v>
      </c>
      <c r="I323" s="1" t="s">
        <v>395</v>
      </c>
      <c r="J323" s="1" t="s">
        <v>46</v>
      </c>
      <c r="K323" s="1">
        <v>200</v>
      </c>
      <c r="L323" s="1">
        <v>32168</v>
      </c>
      <c r="M323" s="2">
        <f t="shared" si="69"/>
        <v>6433600</v>
      </c>
      <c r="N323" s="1">
        <v>1065404.1599999999</v>
      </c>
      <c r="O323" s="1">
        <f t="shared" si="70"/>
        <v>7499004.1600000001</v>
      </c>
      <c r="P323" s="1">
        <v>7589</v>
      </c>
      <c r="Q323" s="1">
        <f t="shared" si="71"/>
        <v>7491415.1600000001</v>
      </c>
      <c r="R323" s="1">
        <f>0.62*U323</f>
        <v>2932724</v>
      </c>
      <c r="S323" s="1">
        <f>U323*0.2</f>
        <v>946040</v>
      </c>
      <c r="T323" s="1">
        <f t="shared" si="72"/>
        <v>851436</v>
      </c>
      <c r="U323" s="1">
        <v>4730200</v>
      </c>
      <c r="V323" s="1">
        <f t="shared" si="68"/>
        <v>2761215.16</v>
      </c>
      <c r="W323" s="1">
        <v>4.8</v>
      </c>
    </row>
    <row r="324" spans="1:23" x14ac:dyDescent="0.25">
      <c r="A324" s="1" t="s">
        <v>267</v>
      </c>
      <c r="B324" s="1" t="s">
        <v>28</v>
      </c>
      <c r="C324" s="1" t="s">
        <v>408</v>
      </c>
      <c r="D324" s="1" t="s">
        <v>48</v>
      </c>
      <c r="E324" s="1" t="s">
        <v>49</v>
      </c>
      <c r="F324" s="1" t="s">
        <v>59</v>
      </c>
      <c r="G324" s="1" t="s">
        <v>85</v>
      </c>
      <c r="H324" s="1" t="s">
        <v>399</v>
      </c>
      <c r="I324" s="1" t="s">
        <v>397</v>
      </c>
      <c r="J324" s="1" t="s">
        <v>46</v>
      </c>
      <c r="K324" s="1">
        <v>88</v>
      </c>
      <c r="L324" s="1">
        <v>34814</v>
      </c>
      <c r="M324" s="2">
        <f t="shared" si="69"/>
        <v>3063632</v>
      </c>
      <c r="N324" s="1">
        <v>507337.46</v>
      </c>
      <c r="O324" s="1">
        <f t="shared" si="70"/>
        <v>3570969.46</v>
      </c>
      <c r="P324" s="1">
        <v>5792</v>
      </c>
      <c r="Q324" s="1">
        <f t="shared" si="71"/>
        <v>3565177.46</v>
      </c>
      <c r="R324" s="1">
        <f t="shared" ref="R324:R326" si="87">0.7*U324</f>
        <v>1465956.7999999998</v>
      </c>
      <c r="S324" s="1">
        <f t="shared" si="73"/>
        <v>418844.80000000005</v>
      </c>
      <c r="T324" s="1">
        <f t="shared" si="72"/>
        <v>209422.40000000014</v>
      </c>
      <c r="U324" s="1">
        <v>2094224</v>
      </c>
      <c r="V324" s="1">
        <f t="shared" ref="V324:V387" si="88">Q324-U324</f>
        <v>1470953.46</v>
      </c>
      <c r="W324" s="1">
        <v>4.0999999999999996</v>
      </c>
    </row>
    <row r="325" spans="1:23" x14ac:dyDescent="0.25">
      <c r="A325" s="1" t="s">
        <v>242</v>
      </c>
      <c r="B325" s="1" t="s">
        <v>28</v>
      </c>
      <c r="C325" s="1" t="s">
        <v>408</v>
      </c>
      <c r="D325" s="1" t="s">
        <v>62</v>
      </c>
      <c r="E325" s="1" t="s">
        <v>43</v>
      </c>
      <c r="F325" s="1" t="s">
        <v>59</v>
      </c>
      <c r="G325" s="1" t="s">
        <v>103</v>
      </c>
      <c r="H325" s="1" t="s">
        <v>399</v>
      </c>
      <c r="I325" s="1" t="s">
        <v>19</v>
      </c>
      <c r="J325" s="1" t="s">
        <v>46</v>
      </c>
      <c r="K325" s="1">
        <v>107</v>
      </c>
      <c r="L325" s="1">
        <v>8323</v>
      </c>
      <c r="M325" s="2">
        <f t="shared" ref="M325:M388" si="89">K325*L325</f>
        <v>890561</v>
      </c>
      <c r="N325" s="1">
        <v>141064.85999999999</v>
      </c>
      <c r="O325" s="1">
        <f t="shared" ref="O325:O388" si="90">M325+N325</f>
        <v>1031625.86</v>
      </c>
      <c r="P325" s="1">
        <v>6236</v>
      </c>
      <c r="Q325" s="1">
        <f t="shared" ref="Q325:Q388" si="91">O325-P325</f>
        <v>1025389.86</v>
      </c>
      <c r="R325" s="1">
        <f t="shared" si="87"/>
        <v>436891.69999999995</v>
      </c>
      <c r="S325" s="1">
        <f t="shared" ref="S325:S384" si="92">U325*0.2</f>
        <v>124826.20000000001</v>
      </c>
      <c r="T325" s="1">
        <f t="shared" ref="T325:T388" si="93">U325-S325-R325</f>
        <v>62413.100000000035</v>
      </c>
      <c r="U325" s="1">
        <v>624131</v>
      </c>
      <c r="V325" s="1">
        <f t="shared" si="88"/>
        <v>401258.86</v>
      </c>
      <c r="W325" s="1">
        <v>4.3</v>
      </c>
    </row>
    <row r="326" spans="1:23" x14ac:dyDescent="0.25">
      <c r="A326" s="1" t="s">
        <v>268</v>
      </c>
      <c r="B326" s="1" t="s">
        <v>109</v>
      </c>
      <c r="C326" s="1" t="s">
        <v>408</v>
      </c>
      <c r="D326" s="1" t="s">
        <v>78</v>
      </c>
      <c r="E326" s="1" t="s">
        <v>49</v>
      </c>
      <c r="F326" s="1" t="s">
        <v>59</v>
      </c>
      <c r="G326" s="1" t="s">
        <v>121</v>
      </c>
      <c r="H326" s="1" t="s">
        <v>398</v>
      </c>
      <c r="I326" s="1" t="s">
        <v>395</v>
      </c>
      <c r="J326" s="1" t="s">
        <v>26</v>
      </c>
      <c r="K326" s="1">
        <v>116</v>
      </c>
      <c r="L326" s="1">
        <v>29642</v>
      </c>
      <c r="M326" s="2">
        <f t="shared" si="89"/>
        <v>3438472</v>
      </c>
      <c r="N326" s="1">
        <v>569410.96</v>
      </c>
      <c r="O326" s="1">
        <f t="shared" si="90"/>
        <v>4007882.96</v>
      </c>
      <c r="P326" s="1">
        <v>6325</v>
      </c>
      <c r="Q326" s="1">
        <f t="shared" si="91"/>
        <v>4001557.96</v>
      </c>
      <c r="R326" s="1">
        <f t="shared" si="87"/>
        <v>1542150.4</v>
      </c>
      <c r="S326" s="1">
        <f t="shared" si="92"/>
        <v>440614.40000000002</v>
      </c>
      <c r="T326" s="1">
        <f t="shared" si="93"/>
        <v>220307.20000000019</v>
      </c>
      <c r="U326" s="1">
        <v>2203072</v>
      </c>
      <c r="V326" s="1">
        <f t="shared" si="88"/>
        <v>1798485.96</v>
      </c>
      <c r="W326" s="1">
        <v>4.3</v>
      </c>
    </row>
    <row r="327" spans="1:23" x14ac:dyDescent="0.25">
      <c r="A327" s="1" t="s">
        <v>122</v>
      </c>
      <c r="B327" s="1" t="s">
        <v>32</v>
      </c>
      <c r="C327" s="1" t="s">
        <v>408</v>
      </c>
      <c r="D327" s="1" t="s">
        <v>55</v>
      </c>
      <c r="E327" s="1" t="s">
        <v>56</v>
      </c>
      <c r="F327" s="1" t="s">
        <v>29</v>
      </c>
      <c r="G327" s="1" t="s">
        <v>30</v>
      </c>
      <c r="H327" s="1" t="s">
        <v>399</v>
      </c>
      <c r="I327" s="1" t="s">
        <v>39</v>
      </c>
      <c r="J327" s="1" t="s">
        <v>46</v>
      </c>
      <c r="K327" s="1">
        <v>88</v>
      </c>
      <c r="L327" s="1">
        <v>5264</v>
      </c>
      <c r="M327" s="2">
        <f t="shared" si="89"/>
        <v>463232</v>
      </c>
      <c r="N327" s="1">
        <v>79212.67</v>
      </c>
      <c r="O327" s="1">
        <f t="shared" si="90"/>
        <v>542444.67000000004</v>
      </c>
      <c r="P327" s="1">
        <v>5386</v>
      </c>
      <c r="Q327" s="1">
        <f t="shared" si="91"/>
        <v>537058.67000000004</v>
      </c>
      <c r="R327" s="1">
        <v>79420</v>
      </c>
      <c r="S327" s="1">
        <f>U327*0.1</f>
        <v>31768</v>
      </c>
      <c r="T327" s="1">
        <f t="shared" si="93"/>
        <v>206492</v>
      </c>
      <c r="U327" s="1">
        <v>317680</v>
      </c>
      <c r="V327" s="1">
        <f t="shared" si="88"/>
        <v>219378.67000000004</v>
      </c>
      <c r="W327" s="1">
        <v>4.5999999999999996</v>
      </c>
    </row>
    <row r="328" spans="1:23" x14ac:dyDescent="0.25">
      <c r="A328" s="1" t="s">
        <v>245</v>
      </c>
      <c r="B328" s="1" t="s">
        <v>77</v>
      </c>
      <c r="C328" s="1" t="s">
        <v>408</v>
      </c>
      <c r="D328" s="1" t="s">
        <v>52</v>
      </c>
      <c r="E328" s="1" t="s">
        <v>23</v>
      </c>
      <c r="F328" s="1" t="s">
        <v>17</v>
      </c>
      <c r="G328" s="1" t="s">
        <v>38</v>
      </c>
      <c r="H328" s="1" t="s">
        <v>399</v>
      </c>
      <c r="I328" s="1" t="s">
        <v>396</v>
      </c>
      <c r="J328" s="1" t="s">
        <v>26</v>
      </c>
      <c r="K328" s="1">
        <v>118</v>
      </c>
      <c r="L328" s="1">
        <v>16657</v>
      </c>
      <c r="M328" s="2">
        <f t="shared" si="89"/>
        <v>1965526</v>
      </c>
      <c r="N328" s="1">
        <v>300725.48</v>
      </c>
      <c r="O328" s="1">
        <f t="shared" si="90"/>
        <v>2266251.48</v>
      </c>
      <c r="P328" s="1">
        <v>5145</v>
      </c>
      <c r="Q328" s="1">
        <f t="shared" si="91"/>
        <v>2261106.48</v>
      </c>
      <c r="R328" s="1">
        <f>0.62*U328</f>
        <v>956640.16</v>
      </c>
      <c r="S328" s="1">
        <f>U328*0.2</f>
        <v>308593.60000000003</v>
      </c>
      <c r="T328" s="1">
        <f t="shared" si="93"/>
        <v>277734.23999999987</v>
      </c>
      <c r="U328" s="1">
        <v>1542968</v>
      </c>
      <c r="V328" s="1">
        <f t="shared" si="88"/>
        <v>718138.48</v>
      </c>
      <c r="W328" s="1">
        <v>4.5</v>
      </c>
    </row>
    <row r="329" spans="1:23" x14ac:dyDescent="0.25">
      <c r="A329" s="1" t="s">
        <v>269</v>
      </c>
      <c r="B329" s="1" t="s">
        <v>37</v>
      </c>
      <c r="C329" s="1" t="s">
        <v>408</v>
      </c>
      <c r="D329" s="1" t="s">
        <v>74</v>
      </c>
      <c r="E329" s="1" t="s">
        <v>56</v>
      </c>
      <c r="F329" s="1" t="s">
        <v>24</v>
      </c>
      <c r="G329" s="1" t="s">
        <v>63</v>
      </c>
      <c r="H329" s="1" t="s">
        <v>399</v>
      </c>
      <c r="I329" s="1" t="s">
        <v>395</v>
      </c>
      <c r="J329" s="1" t="s">
        <v>26</v>
      </c>
      <c r="K329" s="1">
        <v>105</v>
      </c>
      <c r="L329" s="1">
        <v>9362</v>
      </c>
      <c r="M329" s="2">
        <f t="shared" si="89"/>
        <v>983010</v>
      </c>
      <c r="N329" s="1">
        <v>150400.53</v>
      </c>
      <c r="O329" s="1">
        <f t="shared" si="90"/>
        <v>1133410.53</v>
      </c>
      <c r="P329" s="1">
        <v>9811</v>
      </c>
      <c r="Q329" s="1">
        <f t="shared" si="91"/>
        <v>1123599.53</v>
      </c>
      <c r="R329" s="1">
        <v>182568.75</v>
      </c>
      <c r="S329" s="1">
        <f t="shared" si="92"/>
        <v>146055</v>
      </c>
      <c r="T329" s="1">
        <f t="shared" si="93"/>
        <v>401651.25</v>
      </c>
      <c r="U329" s="1">
        <v>730275</v>
      </c>
      <c r="V329" s="1">
        <f t="shared" si="88"/>
        <v>393324.53</v>
      </c>
      <c r="W329" s="1">
        <v>3.6</v>
      </c>
    </row>
    <row r="330" spans="1:23" x14ac:dyDescent="0.25">
      <c r="A330" s="1" t="s">
        <v>99</v>
      </c>
      <c r="B330" s="1" t="s">
        <v>34</v>
      </c>
      <c r="C330" s="1" t="s">
        <v>408</v>
      </c>
      <c r="D330" s="1" t="s">
        <v>22</v>
      </c>
      <c r="E330" s="1" t="s">
        <v>23</v>
      </c>
      <c r="F330" s="1" t="s">
        <v>17</v>
      </c>
      <c r="G330" s="1" t="s">
        <v>38</v>
      </c>
      <c r="H330" s="1" t="s">
        <v>399</v>
      </c>
      <c r="I330" s="1" t="s">
        <v>397</v>
      </c>
      <c r="J330" s="1" t="s">
        <v>26</v>
      </c>
      <c r="K330" s="1">
        <v>157</v>
      </c>
      <c r="L330" s="1">
        <v>4202</v>
      </c>
      <c r="M330" s="2">
        <f t="shared" si="89"/>
        <v>659714</v>
      </c>
      <c r="N330" s="1">
        <v>118748.52</v>
      </c>
      <c r="O330" s="1">
        <f t="shared" si="90"/>
        <v>778462.52</v>
      </c>
      <c r="P330" s="1">
        <v>6844</v>
      </c>
      <c r="Q330" s="1">
        <f t="shared" si="91"/>
        <v>771618.52</v>
      </c>
      <c r="R330" s="1">
        <f t="shared" ref="R330:R331" si="94">0.62*U330</f>
        <v>316355</v>
      </c>
      <c r="S330" s="1">
        <f t="shared" si="92"/>
        <v>102050</v>
      </c>
      <c r="T330" s="1">
        <f t="shared" si="93"/>
        <v>91845</v>
      </c>
      <c r="U330" s="1">
        <v>510250</v>
      </c>
      <c r="V330" s="1">
        <f t="shared" si="88"/>
        <v>261368.52000000002</v>
      </c>
      <c r="W330" s="1">
        <v>4.2</v>
      </c>
    </row>
    <row r="331" spans="1:23" x14ac:dyDescent="0.25">
      <c r="A331" s="1" t="s">
        <v>270</v>
      </c>
      <c r="B331" s="1" t="s">
        <v>109</v>
      </c>
      <c r="C331" s="1" t="s">
        <v>408</v>
      </c>
      <c r="D331" s="1" t="s">
        <v>22</v>
      </c>
      <c r="E331" s="1" t="s">
        <v>23</v>
      </c>
      <c r="F331" s="1" t="s">
        <v>17</v>
      </c>
      <c r="G331" s="1" t="s">
        <v>35</v>
      </c>
      <c r="H331" s="1" t="s">
        <v>398</v>
      </c>
      <c r="I331" s="1" t="s">
        <v>396</v>
      </c>
      <c r="J331" s="1" t="s">
        <v>26</v>
      </c>
      <c r="K331" s="1">
        <v>95</v>
      </c>
      <c r="L331" s="1">
        <v>15773</v>
      </c>
      <c r="M331" s="2">
        <f t="shared" si="89"/>
        <v>1498435</v>
      </c>
      <c r="N331" s="1">
        <v>269718.3</v>
      </c>
      <c r="O331" s="1">
        <f t="shared" si="90"/>
        <v>1768153.3</v>
      </c>
      <c r="P331" s="1">
        <v>5872</v>
      </c>
      <c r="Q331" s="1">
        <f t="shared" si="91"/>
        <v>1762281.3</v>
      </c>
      <c r="R331" s="1">
        <f t="shared" si="94"/>
        <v>585348.19999999995</v>
      </c>
      <c r="S331" s="1">
        <f t="shared" si="92"/>
        <v>188822</v>
      </c>
      <c r="T331" s="1">
        <f t="shared" si="93"/>
        <v>169939.80000000005</v>
      </c>
      <c r="U331" s="1">
        <v>944110</v>
      </c>
      <c r="V331" s="1">
        <f t="shared" si="88"/>
        <v>818171.3</v>
      </c>
      <c r="W331" s="1">
        <v>4.8</v>
      </c>
    </row>
    <row r="332" spans="1:23" x14ac:dyDescent="0.25">
      <c r="A332" s="1" t="s">
        <v>271</v>
      </c>
      <c r="B332" s="1" t="s">
        <v>32</v>
      </c>
      <c r="C332" s="1" t="s">
        <v>408</v>
      </c>
      <c r="D332" s="1" t="s">
        <v>62</v>
      </c>
      <c r="E332" s="1" t="s">
        <v>43</v>
      </c>
      <c r="F332" s="1" t="s">
        <v>59</v>
      </c>
      <c r="G332" s="1" t="s">
        <v>60</v>
      </c>
      <c r="H332" s="1" t="s">
        <v>399</v>
      </c>
      <c r="I332" s="1" t="s">
        <v>396</v>
      </c>
      <c r="J332" s="1" t="s">
        <v>26</v>
      </c>
      <c r="K332" s="1">
        <v>179</v>
      </c>
      <c r="L332" s="1">
        <v>12895</v>
      </c>
      <c r="M332" s="2">
        <f t="shared" si="89"/>
        <v>2308205</v>
      </c>
      <c r="N332" s="1">
        <v>394703.05</v>
      </c>
      <c r="O332" s="1">
        <f t="shared" si="90"/>
        <v>2702908.05</v>
      </c>
      <c r="P332" s="1">
        <v>5886</v>
      </c>
      <c r="Q332" s="1">
        <f t="shared" si="91"/>
        <v>2697022.05</v>
      </c>
      <c r="R332" s="1">
        <f>0.7*U332</f>
        <v>1071315</v>
      </c>
      <c r="S332" s="1">
        <f t="shared" si="92"/>
        <v>306090</v>
      </c>
      <c r="T332" s="1">
        <f t="shared" si="93"/>
        <v>153045</v>
      </c>
      <c r="U332" s="1">
        <v>1530450</v>
      </c>
      <c r="V332" s="1">
        <f t="shared" si="88"/>
        <v>1166572.0499999998</v>
      </c>
      <c r="W332" s="1">
        <v>4.2</v>
      </c>
    </row>
    <row r="333" spans="1:23" x14ac:dyDescent="0.25">
      <c r="A333" s="1" t="s">
        <v>223</v>
      </c>
      <c r="B333" s="1" t="s">
        <v>69</v>
      </c>
      <c r="C333" s="1" t="s">
        <v>408</v>
      </c>
      <c r="D333" s="1" t="s">
        <v>62</v>
      </c>
      <c r="E333" s="1" t="s">
        <v>43</v>
      </c>
      <c r="F333" s="1" t="s">
        <v>24</v>
      </c>
      <c r="G333" s="1" t="s">
        <v>25</v>
      </c>
      <c r="H333" s="1" t="s">
        <v>399</v>
      </c>
      <c r="I333" s="1" t="s">
        <v>396</v>
      </c>
      <c r="J333" s="1" t="s">
        <v>26</v>
      </c>
      <c r="K333" s="1">
        <v>98</v>
      </c>
      <c r="L333" s="1">
        <v>10086</v>
      </c>
      <c r="M333" s="2">
        <f t="shared" si="89"/>
        <v>988428</v>
      </c>
      <c r="N333" s="1">
        <v>177917.04</v>
      </c>
      <c r="O333" s="1">
        <f t="shared" si="90"/>
        <v>1166345.04</v>
      </c>
      <c r="P333" s="1">
        <v>6579</v>
      </c>
      <c r="Q333" s="1">
        <f t="shared" si="91"/>
        <v>1159766.04</v>
      </c>
      <c r="R333" s="1">
        <v>327418</v>
      </c>
      <c r="S333" s="1">
        <f t="shared" si="92"/>
        <v>130967.20000000001</v>
      </c>
      <c r="T333" s="1">
        <f t="shared" si="93"/>
        <v>196450.8</v>
      </c>
      <c r="U333" s="1">
        <v>654836</v>
      </c>
      <c r="V333" s="1">
        <f t="shared" si="88"/>
        <v>504930.04000000004</v>
      </c>
      <c r="W333" s="1">
        <v>4.7</v>
      </c>
    </row>
    <row r="334" spans="1:23" x14ac:dyDescent="0.25">
      <c r="A334" s="1" t="s">
        <v>272</v>
      </c>
      <c r="B334" s="1" t="s">
        <v>37</v>
      </c>
      <c r="C334" s="1" t="s">
        <v>408</v>
      </c>
      <c r="D334" s="1" t="s">
        <v>55</v>
      </c>
      <c r="E334" s="1" t="s">
        <v>56</v>
      </c>
      <c r="F334" s="1" t="s">
        <v>17</v>
      </c>
      <c r="G334" s="1" t="s">
        <v>72</v>
      </c>
      <c r="H334" s="1" t="s">
        <v>398</v>
      </c>
      <c r="I334" s="1" t="s">
        <v>397</v>
      </c>
      <c r="J334" s="1" t="s">
        <v>26</v>
      </c>
      <c r="K334" s="1">
        <v>23</v>
      </c>
      <c r="L334" s="1">
        <v>11512</v>
      </c>
      <c r="M334" s="2">
        <f t="shared" si="89"/>
        <v>264776</v>
      </c>
      <c r="N334" s="1">
        <v>45276.7</v>
      </c>
      <c r="O334" s="1">
        <f t="shared" si="90"/>
        <v>310052.7</v>
      </c>
      <c r="P334" s="1">
        <v>7986</v>
      </c>
      <c r="Q334" s="1">
        <f t="shared" si="91"/>
        <v>302066.7</v>
      </c>
      <c r="R334" s="1">
        <f t="shared" ref="R334:R336" si="95">0.62*U334</f>
        <v>108261.92</v>
      </c>
      <c r="S334" s="1">
        <f t="shared" si="92"/>
        <v>34923.200000000004</v>
      </c>
      <c r="T334" s="1">
        <f t="shared" si="93"/>
        <v>31430.87999999999</v>
      </c>
      <c r="U334" s="1">
        <v>174616</v>
      </c>
      <c r="V334" s="1">
        <f t="shared" si="88"/>
        <v>127450.70000000001</v>
      </c>
      <c r="W334" s="1">
        <v>4.9000000000000004</v>
      </c>
    </row>
    <row r="335" spans="1:23" x14ac:dyDescent="0.25">
      <c r="A335" s="1" t="s">
        <v>250</v>
      </c>
      <c r="B335" s="1" t="s">
        <v>41</v>
      </c>
      <c r="C335" s="1" t="s">
        <v>408</v>
      </c>
      <c r="D335" s="1" t="s">
        <v>55</v>
      </c>
      <c r="E335" s="1" t="s">
        <v>56</v>
      </c>
      <c r="F335" s="1" t="s">
        <v>17</v>
      </c>
      <c r="G335" s="1" t="s">
        <v>35</v>
      </c>
      <c r="H335" s="1" t="s">
        <v>398</v>
      </c>
      <c r="I335" s="1" t="s">
        <v>39</v>
      </c>
      <c r="J335" s="1" t="s">
        <v>46</v>
      </c>
      <c r="K335" s="1">
        <v>21</v>
      </c>
      <c r="L335" s="1">
        <v>8215</v>
      </c>
      <c r="M335" s="2">
        <f t="shared" si="89"/>
        <v>172515</v>
      </c>
      <c r="N335" s="1">
        <v>28568.48</v>
      </c>
      <c r="O335" s="1">
        <f t="shared" si="90"/>
        <v>201083.48</v>
      </c>
      <c r="P335" s="1">
        <v>6396</v>
      </c>
      <c r="Q335" s="1">
        <f t="shared" si="91"/>
        <v>194687.48</v>
      </c>
      <c r="R335" s="1">
        <f t="shared" si="95"/>
        <v>86296.56</v>
      </c>
      <c r="S335" s="1">
        <f t="shared" si="92"/>
        <v>27837.600000000002</v>
      </c>
      <c r="T335" s="1">
        <f t="shared" si="93"/>
        <v>25053.839999999997</v>
      </c>
      <c r="U335" s="1">
        <v>139188</v>
      </c>
      <c r="V335" s="1">
        <f t="shared" si="88"/>
        <v>55499.48000000001</v>
      </c>
      <c r="W335" s="1">
        <v>3.9</v>
      </c>
    </row>
    <row r="336" spans="1:23" x14ac:dyDescent="0.25">
      <c r="A336" s="1" t="s">
        <v>273</v>
      </c>
      <c r="B336" s="1" t="s">
        <v>32</v>
      </c>
      <c r="C336" s="1" t="s">
        <v>408</v>
      </c>
      <c r="D336" s="1" t="s">
        <v>15</v>
      </c>
      <c r="E336" s="1" t="s">
        <v>16</v>
      </c>
      <c r="F336" s="1" t="s">
        <v>17</v>
      </c>
      <c r="G336" s="1" t="s">
        <v>75</v>
      </c>
      <c r="H336" s="1" t="s">
        <v>398</v>
      </c>
      <c r="I336" s="1" t="s">
        <v>19</v>
      </c>
      <c r="J336" s="1" t="s">
        <v>26</v>
      </c>
      <c r="K336" s="1">
        <v>22</v>
      </c>
      <c r="L336" s="1">
        <v>4474</v>
      </c>
      <c r="M336" s="2">
        <f t="shared" si="89"/>
        <v>98428</v>
      </c>
      <c r="N336" s="1">
        <v>15591</v>
      </c>
      <c r="O336" s="1">
        <f t="shared" si="90"/>
        <v>114019</v>
      </c>
      <c r="P336" s="1">
        <v>7078</v>
      </c>
      <c r="Q336" s="1">
        <f t="shared" si="91"/>
        <v>106941</v>
      </c>
      <c r="R336" s="1">
        <f t="shared" si="95"/>
        <v>50427.08</v>
      </c>
      <c r="S336" s="1">
        <f t="shared" si="92"/>
        <v>16266.800000000001</v>
      </c>
      <c r="T336" s="1">
        <f t="shared" si="93"/>
        <v>14640.119999999995</v>
      </c>
      <c r="U336" s="1">
        <v>81334</v>
      </c>
      <c r="V336" s="1">
        <f t="shared" si="88"/>
        <v>25607</v>
      </c>
      <c r="W336" s="1">
        <v>4.8</v>
      </c>
    </row>
    <row r="337" spans="1:23" x14ac:dyDescent="0.25">
      <c r="A337" s="1" t="s">
        <v>171</v>
      </c>
      <c r="B337" s="1" t="s">
        <v>51</v>
      </c>
      <c r="C337" s="1" t="s">
        <v>408</v>
      </c>
      <c r="D337" s="1" t="s">
        <v>22</v>
      </c>
      <c r="E337" s="1" t="s">
        <v>23</v>
      </c>
      <c r="F337" s="1" t="s">
        <v>29</v>
      </c>
      <c r="G337" s="1" t="s">
        <v>30</v>
      </c>
      <c r="H337" s="1" t="s">
        <v>398</v>
      </c>
      <c r="I337" s="1" t="s">
        <v>19</v>
      </c>
      <c r="J337" s="1" t="s">
        <v>46</v>
      </c>
      <c r="K337" s="1">
        <v>191</v>
      </c>
      <c r="L337" s="1">
        <v>7953</v>
      </c>
      <c r="M337" s="2">
        <f t="shared" si="89"/>
        <v>1519023</v>
      </c>
      <c r="N337" s="1">
        <v>259752.93</v>
      </c>
      <c r="O337" s="1">
        <f t="shared" si="90"/>
        <v>1778775.93</v>
      </c>
      <c r="P337" s="1">
        <v>5049</v>
      </c>
      <c r="Q337" s="1">
        <f t="shared" si="91"/>
        <v>1773726.93</v>
      </c>
      <c r="R337" s="1">
        <v>571472</v>
      </c>
      <c r="S337" s="1">
        <f t="shared" ref="S337:S339" si="96">U337*0.1</f>
        <v>114294.40000000001</v>
      </c>
      <c r="T337" s="1">
        <f t="shared" si="93"/>
        <v>457177.59999999998</v>
      </c>
      <c r="U337" s="1">
        <v>1142944</v>
      </c>
      <c r="V337" s="1">
        <f t="shared" si="88"/>
        <v>630782.92999999993</v>
      </c>
      <c r="W337" s="1">
        <v>3.6</v>
      </c>
    </row>
    <row r="338" spans="1:23" x14ac:dyDescent="0.25">
      <c r="A338" s="1" t="s">
        <v>195</v>
      </c>
      <c r="B338" s="1" t="s">
        <v>58</v>
      </c>
      <c r="C338" s="1" t="s">
        <v>408</v>
      </c>
      <c r="D338" s="1" t="s">
        <v>42</v>
      </c>
      <c r="E338" s="1" t="s">
        <v>43</v>
      </c>
      <c r="F338" s="1" t="s">
        <v>29</v>
      </c>
      <c r="G338" s="1" t="s">
        <v>30</v>
      </c>
      <c r="H338" s="1" t="s">
        <v>398</v>
      </c>
      <c r="I338" s="1" t="s">
        <v>395</v>
      </c>
      <c r="J338" s="1" t="s">
        <v>46</v>
      </c>
      <c r="K338" s="1">
        <v>56</v>
      </c>
      <c r="L338" s="1">
        <v>4601</v>
      </c>
      <c r="M338" s="2">
        <f t="shared" si="89"/>
        <v>257656</v>
      </c>
      <c r="N338" s="1">
        <v>46378.080000000002</v>
      </c>
      <c r="O338" s="1">
        <f t="shared" si="90"/>
        <v>304034.08</v>
      </c>
      <c r="P338" s="1">
        <v>8818</v>
      </c>
      <c r="Q338" s="1">
        <f t="shared" si="91"/>
        <v>295216.08</v>
      </c>
      <c r="R338" s="1">
        <v>127218</v>
      </c>
      <c r="S338" s="1">
        <f t="shared" si="96"/>
        <v>16962.400000000001</v>
      </c>
      <c r="T338" s="1">
        <f t="shared" si="93"/>
        <v>25443.600000000006</v>
      </c>
      <c r="U338" s="1">
        <v>169624</v>
      </c>
      <c r="V338" s="1">
        <f t="shared" si="88"/>
        <v>125592.08000000002</v>
      </c>
      <c r="W338" s="1">
        <v>4.2</v>
      </c>
    </row>
    <row r="339" spans="1:23" x14ac:dyDescent="0.25">
      <c r="A339" s="1" t="s">
        <v>274</v>
      </c>
      <c r="B339" s="1" t="s">
        <v>69</v>
      </c>
      <c r="C339" s="1" t="s">
        <v>408</v>
      </c>
      <c r="D339" s="1" t="s">
        <v>42</v>
      </c>
      <c r="E339" s="1" t="s">
        <v>43</v>
      </c>
      <c r="F339" s="1" t="s">
        <v>29</v>
      </c>
      <c r="G339" s="1" t="s">
        <v>30</v>
      </c>
      <c r="H339" s="1" t="s">
        <v>399</v>
      </c>
      <c r="I339" s="1" t="s">
        <v>397</v>
      </c>
      <c r="J339" s="1" t="s">
        <v>46</v>
      </c>
      <c r="K339" s="1">
        <v>159</v>
      </c>
      <c r="L339" s="1">
        <v>17295</v>
      </c>
      <c r="M339" s="2">
        <f t="shared" si="89"/>
        <v>2749905</v>
      </c>
      <c r="N339" s="1">
        <v>420735.46</v>
      </c>
      <c r="O339" s="1">
        <f t="shared" si="90"/>
        <v>3170640.46</v>
      </c>
      <c r="P339" s="1">
        <v>9409</v>
      </c>
      <c r="Q339" s="1">
        <f t="shared" si="91"/>
        <v>3161231.46</v>
      </c>
      <c r="R339" s="1">
        <v>543780</v>
      </c>
      <c r="S339" s="1">
        <f t="shared" si="96"/>
        <v>217512</v>
      </c>
      <c r="T339" s="1">
        <f t="shared" si="93"/>
        <v>1413828</v>
      </c>
      <c r="U339" s="1">
        <v>2175120</v>
      </c>
      <c r="V339" s="1">
        <f t="shared" si="88"/>
        <v>986111.46</v>
      </c>
      <c r="W339" s="1">
        <v>4.3</v>
      </c>
    </row>
    <row r="340" spans="1:23" x14ac:dyDescent="0.25">
      <c r="A340" s="1" t="s">
        <v>269</v>
      </c>
      <c r="B340" s="1" t="s">
        <v>21</v>
      </c>
      <c r="C340" s="1" t="s">
        <v>408</v>
      </c>
      <c r="D340" s="1" t="s">
        <v>74</v>
      </c>
      <c r="E340" s="1" t="s">
        <v>56</v>
      </c>
      <c r="F340" s="1" t="s">
        <v>17</v>
      </c>
      <c r="G340" s="1" t="s">
        <v>72</v>
      </c>
      <c r="H340" s="1" t="s">
        <v>399</v>
      </c>
      <c r="I340" s="1" t="s">
        <v>395</v>
      </c>
      <c r="J340" s="1" t="s">
        <v>46</v>
      </c>
      <c r="K340" s="1">
        <v>147</v>
      </c>
      <c r="L340" s="1">
        <v>14903</v>
      </c>
      <c r="M340" s="2">
        <f t="shared" si="89"/>
        <v>2190741</v>
      </c>
      <c r="N340" s="1">
        <v>362786.71</v>
      </c>
      <c r="O340" s="1">
        <f t="shared" si="90"/>
        <v>2553527.71</v>
      </c>
      <c r="P340" s="1">
        <v>7221</v>
      </c>
      <c r="Q340" s="1">
        <f t="shared" si="91"/>
        <v>2546306.71</v>
      </c>
      <c r="R340" s="1">
        <f>0.62*U340</f>
        <v>1056950.58</v>
      </c>
      <c r="S340" s="1">
        <f>U340*0.2</f>
        <v>340951.80000000005</v>
      </c>
      <c r="T340" s="1">
        <f t="shared" si="93"/>
        <v>306856.61999999988</v>
      </c>
      <c r="U340" s="1">
        <v>1704759</v>
      </c>
      <c r="V340" s="1">
        <f t="shared" si="88"/>
        <v>841547.71</v>
      </c>
      <c r="W340" s="1">
        <v>4.5999999999999996</v>
      </c>
    </row>
    <row r="341" spans="1:23" x14ac:dyDescent="0.25">
      <c r="A341" s="1" t="s">
        <v>227</v>
      </c>
      <c r="B341" s="1" t="s">
        <v>14</v>
      </c>
      <c r="C341" s="1" t="s">
        <v>408</v>
      </c>
      <c r="D341" s="1" t="s">
        <v>48</v>
      </c>
      <c r="E341" s="1" t="s">
        <v>49</v>
      </c>
      <c r="F341" s="1" t="s">
        <v>59</v>
      </c>
      <c r="G341" s="1" t="s">
        <v>121</v>
      </c>
      <c r="H341" s="1" t="s">
        <v>398</v>
      </c>
      <c r="I341" s="1" t="s">
        <v>396</v>
      </c>
      <c r="J341" s="1" t="s">
        <v>46</v>
      </c>
      <c r="K341" s="1">
        <v>47</v>
      </c>
      <c r="L341" s="1">
        <v>26793</v>
      </c>
      <c r="M341" s="2">
        <f t="shared" si="89"/>
        <v>1259271</v>
      </c>
      <c r="N341" s="1">
        <v>215335.34</v>
      </c>
      <c r="O341" s="1">
        <f t="shared" si="90"/>
        <v>1474606.34</v>
      </c>
      <c r="P341" s="1">
        <v>8509</v>
      </c>
      <c r="Q341" s="1">
        <f t="shared" si="91"/>
        <v>1466097.34</v>
      </c>
      <c r="R341" s="1">
        <f>0.7*U341</f>
        <v>586080.6</v>
      </c>
      <c r="S341" s="1">
        <f t="shared" si="92"/>
        <v>167451.6</v>
      </c>
      <c r="T341" s="1">
        <f t="shared" si="93"/>
        <v>83725.800000000047</v>
      </c>
      <c r="U341" s="1">
        <v>837258</v>
      </c>
      <c r="V341" s="1">
        <f t="shared" si="88"/>
        <v>628839.34000000008</v>
      </c>
      <c r="W341" s="1">
        <v>4.3</v>
      </c>
    </row>
    <row r="342" spans="1:23" x14ac:dyDescent="0.25">
      <c r="A342" s="1" t="s">
        <v>275</v>
      </c>
      <c r="B342" s="1" t="s">
        <v>28</v>
      </c>
      <c r="C342" s="1" t="s">
        <v>408</v>
      </c>
      <c r="D342" s="1" t="s">
        <v>52</v>
      </c>
      <c r="E342" s="1" t="s">
        <v>23</v>
      </c>
      <c r="F342" s="1" t="s">
        <v>24</v>
      </c>
      <c r="G342" s="1" t="s">
        <v>44</v>
      </c>
      <c r="H342" s="1" t="s">
        <v>398</v>
      </c>
      <c r="I342" s="1" t="s">
        <v>39</v>
      </c>
      <c r="J342" s="1" t="s">
        <v>26</v>
      </c>
      <c r="K342" s="1">
        <v>137</v>
      </c>
      <c r="L342" s="1">
        <v>28441</v>
      </c>
      <c r="M342" s="2">
        <f t="shared" si="89"/>
        <v>3896417</v>
      </c>
      <c r="N342" s="1">
        <v>596151.80000000005</v>
      </c>
      <c r="O342" s="1">
        <f t="shared" si="90"/>
        <v>4492568.8</v>
      </c>
      <c r="P342" s="1">
        <v>7060</v>
      </c>
      <c r="Q342" s="1">
        <f t="shared" si="91"/>
        <v>4485508.8</v>
      </c>
      <c r="R342" s="1">
        <v>734799.5</v>
      </c>
      <c r="S342" s="1">
        <f t="shared" si="92"/>
        <v>587839.6</v>
      </c>
      <c r="T342" s="1">
        <f t="shared" si="93"/>
        <v>1616558.9</v>
      </c>
      <c r="U342" s="1">
        <v>2939198</v>
      </c>
      <c r="V342" s="1">
        <f t="shared" si="88"/>
        <v>1546310.7999999998</v>
      </c>
      <c r="W342" s="1">
        <v>4.4000000000000004</v>
      </c>
    </row>
    <row r="343" spans="1:23" x14ac:dyDescent="0.25">
      <c r="A343" s="1" t="s">
        <v>203</v>
      </c>
      <c r="B343" s="1" t="s">
        <v>32</v>
      </c>
      <c r="C343" s="1" t="s">
        <v>408</v>
      </c>
      <c r="D343" s="1" t="s">
        <v>42</v>
      </c>
      <c r="E343" s="1" t="s">
        <v>43</v>
      </c>
      <c r="F343" s="1" t="s">
        <v>17</v>
      </c>
      <c r="G343" s="1" t="s">
        <v>75</v>
      </c>
      <c r="H343" s="1" t="s">
        <v>399</v>
      </c>
      <c r="I343" s="1" t="s">
        <v>396</v>
      </c>
      <c r="J343" s="1" t="s">
        <v>46</v>
      </c>
      <c r="K343" s="1">
        <v>104</v>
      </c>
      <c r="L343" s="1">
        <v>18750</v>
      </c>
      <c r="M343" s="2">
        <f t="shared" si="89"/>
        <v>1950000</v>
      </c>
      <c r="N343" s="1">
        <v>298350</v>
      </c>
      <c r="O343" s="1">
        <f t="shared" si="90"/>
        <v>2248350</v>
      </c>
      <c r="P343" s="1">
        <v>5648</v>
      </c>
      <c r="Q343" s="1">
        <f t="shared" si="91"/>
        <v>2242702</v>
      </c>
      <c r="R343" s="1">
        <f>0.62*U343</f>
        <v>985060.96</v>
      </c>
      <c r="S343" s="1">
        <f>U343*0.2</f>
        <v>317761.60000000003</v>
      </c>
      <c r="T343" s="1">
        <f t="shared" si="93"/>
        <v>285985.43999999994</v>
      </c>
      <c r="U343" s="1">
        <v>1588808</v>
      </c>
      <c r="V343" s="1">
        <f t="shared" si="88"/>
        <v>653894</v>
      </c>
      <c r="W343" s="1">
        <v>4.4000000000000004</v>
      </c>
    </row>
    <row r="344" spans="1:23" x14ac:dyDescent="0.25">
      <c r="A344" s="1" t="s">
        <v>118</v>
      </c>
      <c r="B344" s="1" t="s">
        <v>14</v>
      </c>
      <c r="C344" s="1" t="s">
        <v>408</v>
      </c>
      <c r="D344" s="1" t="s">
        <v>22</v>
      </c>
      <c r="E344" s="1" t="s">
        <v>23</v>
      </c>
      <c r="F344" s="1" t="s">
        <v>59</v>
      </c>
      <c r="G344" s="1" t="s">
        <v>103</v>
      </c>
      <c r="H344" s="1" t="s">
        <v>398</v>
      </c>
      <c r="I344" s="1" t="s">
        <v>39</v>
      </c>
      <c r="J344" s="1" t="s">
        <v>46</v>
      </c>
      <c r="K344" s="1">
        <v>38</v>
      </c>
      <c r="L344" s="1">
        <v>2867</v>
      </c>
      <c r="M344" s="2">
        <f t="shared" si="89"/>
        <v>108946</v>
      </c>
      <c r="N344" s="1">
        <v>18041.46</v>
      </c>
      <c r="O344" s="1">
        <f t="shared" si="90"/>
        <v>126987.45999999999</v>
      </c>
      <c r="P344" s="1">
        <v>5338</v>
      </c>
      <c r="Q344" s="1">
        <f t="shared" si="91"/>
        <v>121649.45999999999</v>
      </c>
      <c r="R344" s="1">
        <f>0.7*U344</f>
        <v>53811.799999999996</v>
      </c>
      <c r="S344" s="1">
        <f t="shared" si="92"/>
        <v>15374.800000000001</v>
      </c>
      <c r="T344" s="1">
        <f t="shared" si="93"/>
        <v>7687.4000000000015</v>
      </c>
      <c r="U344" s="1">
        <v>76874</v>
      </c>
      <c r="V344" s="1">
        <f t="shared" si="88"/>
        <v>44775.459999999992</v>
      </c>
      <c r="W344" s="1">
        <v>3.6</v>
      </c>
    </row>
    <row r="345" spans="1:23" x14ac:dyDescent="0.25">
      <c r="A345" s="1" t="s">
        <v>269</v>
      </c>
      <c r="B345" s="1" t="s">
        <v>37</v>
      </c>
      <c r="C345" s="1" t="s">
        <v>408</v>
      </c>
      <c r="D345" s="1" t="s">
        <v>74</v>
      </c>
      <c r="E345" s="1" t="s">
        <v>56</v>
      </c>
      <c r="F345" s="1" t="s">
        <v>29</v>
      </c>
      <c r="G345" s="1" t="s">
        <v>97</v>
      </c>
      <c r="H345" s="1" t="s">
        <v>399</v>
      </c>
      <c r="I345" s="1" t="s">
        <v>19</v>
      </c>
      <c r="J345" s="1" t="s">
        <v>46</v>
      </c>
      <c r="K345" s="1">
        <v>54</v>
      </c>
      <c r="L345" s="1">
        <v>31733</v>
      </c>
      <c r="M345" s="2">
        <f t="shared" si="89"/>
        <v>1713582</v>
      </c>
      <c r="N345" s="1">
        <v>293022.52</v>
      </c>
      <c r="O345" s="1">
        <f t="shared" si="90"/>
        <v>2006604.52</v>
      </c>
      <c r="P345" s="1">
        <v>8152</v>
      </c>
      <c r="Q345" s="1">
        <f t="shared" si="91"/>
        <v>1998452.52</v>
      </c>
      <c r="R345" s="1">
        <v>293085</v>
      </c>
      <c r="S345" s="1">
        <f t="shared" ref="S345:S346" si="97">U345*0.1</f>
        <v>117234</v>
      </c>
      <c r="T345" s="1">
        <f t="shared" si="93"/>
        <v>762021</v>
      </c>
      <c r="U345" s="1">
        <v>1172340</v>
      </c>
      <c r="V345" s="1">
        <f t="shared" si="88"/>
        <v>826112.52</v>
      </c>
      <c r="W345" s="1">
        <v>4</v>
      </c>
    </row>
    <row r="346" spans="1:23" x14ac:dyDescent="0.25">
      <c r="A346" s="1" t="s">
        <v>276</v>
      </c>
      <c r="B346" s="1" t="s">
        <v>34</v>
      </c>
      <c r="C346" s="1" t="s">
        <v>408</v>
      </c>
      <c r="D346" s="1" t="s">
        <v>52</v>
      </c>
      <c r="E346" s="1" t="s">
        <v>23</v>
      </c>
      <c r="F346" s="1" t="s">
        <v>29</v>
      </c>
      <c r="G346" s="1" t="s">
        <v>53</v>
      </c>
      <c r="H346" s="1" t="s">
        <v>399</v>
      </c>
      <c r="I346" s="1" t="s">
        <v>39</v>
      </c>
      <c r="J346" s="1" t="s">
        <v>26</v>
      </c>
      <c r="K346" s="1">
        <v>72</v>
      </c>
      <c r="L346" s="1">
        <v>22784</v>
      </c>
      <c r="M346" s="2">
        <f t="shared" si="89"/>
        <v>1640448</v>
      </c>
      <c r="N346" s="1">
        <v>271658.19</v>
      </c>
      <c r="O346" s="1">
        <f t="shared" si="90"/>
        <v>1912106.19</v>
      </c>
      <c r="P346" s="1">
        <v>5676</v>
      </c>
      <c r="Q346" s="1">
        <f t="shared" si="91"/>
        <v>1906430.19</v>
      </c>
      <c r="R346" s="1">
        <v>1001646</v>
      </c>
      <c r="S346" s="1">
        <f t="shared" si="97"/>
        <v>133552.80000000002</v>
      </c>
      <c r="T346" s="1">
        <f t="shared" si="93"/>
        <v>200329.19999999995</v>
      </c>
      <c r="U346" s="1">
        <v>1335528</v>
      </c>
      <c r="V346" s="1">
        <f t="shared" si="88"/>
        <v>570902.18999999994</v>
      </c>
      <c r="W346" s="1">
        <v>4.2</v>
      </c>
    </row>
    <row r="347" spans="1:23" x14ac:dyDescent="0.25">
      <c r="A347" s="1" t="s">
        <v>54</v>
      </c>
      <c r="B347" s="1" t="s">
        <v>32</v>
      </c>
      <c r="C347" s="1" t="s">
        <v>408</v>
      </c>
      <c r="D347" s="1" t="s">
        <v>48</v>
      </c>
      <c r="E347" s="1" t="s">
        <v>49</v>
      </c>
      <c r="F347" s="1" t="s">
        <v>17</v>
      </c>
      <c r="G347" s="1" t="s">
        <v>38</v>
      </c>
      <c r="H347" s="1" t="s">
        <v>399</v>
      </c>
      <c r="I347" s="1" t="s">
        <v>39</v>
      </c>
      <c r="J347" s="1" t="s">
        <v>26</v>
      </c>
      <c r="K347" s="1">
        <v>12</v>
      </c>
      <c r="L347" s="1">
        <v>1268</v>
      </c>
      <c r="M347" s="2">
        <f t="shared" si="89"/>
        <v>15216</v>
      </c>
      <c r="N347" s="1">
        <v>2601.94</v>
      </c>
      <c r="O347" s="1">
        <f t="shared" si="90"/>
        <v>17817.939999999999</v>
      </c>
      <c r="P347" s="1">
        <v>7485</v>
      </c>
      <c r="Q347" s="1">
        <f t="shared" si="91"/>
        <v>10332.939999999999</v>
      </c>
      <c r="R347" s="1">
        <f>0.62*U347</f>
        <v>7626</v>
      </c>
      <c r="S347" s="1">
        <f>U347*0.2</f>
        <v>2460</v>
      </c>
      <c r="T347" s="1">
        <f t="shared" si="93"/>
        <v>2214</v>
      </c>
      <c r="U347" s="1">
        <v>12300</v>
      </c>
      <c r="V347" s="1">
        <f t="shared" si="88"/>
        <v>-1967.0600000000013</v>
      </c>
      <c r="W347" s="1">
        <v>3.9</v>
      </c>
    </row>
    <row r="348" spans="1:23" x14ac:dyDescent="0.25">
      <c r="A348" s="1" t="s">
        <v>277</v>
      </c>
      <c r="B348" s="1" t="s">
        <v>32</v>
      </c>
      <c r="C348" s="1" t="s">
        <v>408</v>
      </c>
      <c r="D348" s="1" t="s">
        <v>15</v>
      </c>
      <c r="E348" s="1" t="s">
        <v>16</v>
      </c>
      <c r="F348" s="1" t="s">
        <v>29</v>
      </c>
      <c r="G348" s="1" t="s">
        <v>97</v>
      </c>
      <c r="H348" s="1" t="s">
        <v>399</v>
      </c>
      <c r="I348" s="1" t="s">
        <v>19</v>
      </c>
      <c r="J348" s="1" t="s">
        <v>46</v>
      </c>
      <c r="K348" s="1">
        <v>74</v>
      </c>
      <c r="L348" s="1">
        <v>20232</v>
      </c>
      <c r="M348" s="2">
        <f t="shared" si="89"/>
        <v>1497168</v>
      </c>
      <c r="N348" s="1">
        <v>237151.41</v>
      </c>
      <c r="O348" s="1">
        <f t="shared" si="90"/>
        <v>1734319.41</v>
      </c>
      <c r="P348" s="1">
        <v>6237</v>
      </c>
      <c r="Q348" s="1">
        <f t="shared" si="91"/>
        <v>1728082.41</v>
      </c>
      <c r="R348" s="1">
        <v>798090</v>
      </c>
      <c r="S348" s="1">
        <f>U348*0.1</f>
        <v>106412</v>
      </c>
      <c r="T348" s="1">
        <f t="shared" si="93"/>
        <v>159618</v>
      </c>
      <c r="U348" s="1">
        <v>1064120</v>
      </c>
      <c r="V348" s="1">
        <f t="shared" si="88"/>
        <v>663962.40999999992</v>
      </c>
      <c r="W348" s="1">
        <v>3.6</v>
      </c>
    </row>
    <row r="349" spans="1:23" x14ac:dyDescent="0.25">
      <c r="A349" s="1" t="s">
        <v>155</v>
      </c>
      <c r="B349" s="1" t="s">
        <v>34</v>
      </c>
      <c r="C349" s="1" t="s">
        <v>408</v>
      </c>
      <c r="D349" s="1" t="s">
        <v>22</v>
      </c>
      <c r="E349" s="1" t="s">
        <v>23</v>
      </c>
      <c r="F349" s="1" t="s">
        <v>24</v>
      </c>
      <c r="G349" s="1" t="s">
        <v>143</v>
      </c>
      <c r="H349" s="1" t="s">
        <v>399</v>
      </c>
      <c r="I349" s="1" t="s">
        <v>19</v>
      </c>
      <c r="J349" s="1" t="s">
        <v>46</v>
      </c>
      <c r="K349" s="1">
        <v>120</v>
      </c>
      <c r="L349" s="1">
        <v>8605</v>
      </c>
      <c r="M349" s="2">
        <f t="shared" si="89"/>
        <v>1032600</v>
      </c>
      <c r="N349" s="1">
        <v>170998.56</v>
      </c>
      <c r="O349" s="1">
        <f t="shared" si="90"/>
        <v>1203598.56</v>
      </c>
      <c r="P349" s="1">
        <v>8096</v>
      </c>
      <c r="Q349" s="1">
        <f t="shared" si="91"/>
        <v>1195502.56</v>
      </c>
      <c r="R349" s="1">
        <v>544680</v>
      </c>
      <c r="S349" s="1">
        <f t="shared" si="92"/>
        <v>145248</v>
      </c>
      <c r="T349" s="1">
        <f t="shared" si="93"/>
        <v>36312</v>
      </c>
      <c r="U349" s="1">
        <v>726240</v>
      </c>
      <c r="V349" s="1">
        <f t="shared" si="88"/>
        <v>469262.56000000006</v>
      </c>
      <c r="W349" s="1">
        <v>5</v>
      </c>
    </row>
    <row r="350" spans="1:23" x14ac:dyDescent="0.25">
      <c r="A350" s="1" t="s">
        <v>261</v>
      </c>
      <c r="B350" s="1" t="s">
        <v>37</v>
      </c>
      <c r="C350" s="1" t="s">
        <v>408</v>
      </c>
      <c r="D350" s="1" t="s">
        <v>42</v>
      </c>
      <c r="E350" s="1" t="s">
        <v>43</v>
      </c>
      <c r="F350" s="1" t="s">
        <v>17</v>
      </c>
      <c r="G350" s="1" t="s">
        <v>18</v>
      </c>
      <c r="H350" s="1" t="s">
        <v>399</v>
      </c>
      <c r="I350" s="1" t="s">
        <v>395</v>
      </c>
      <c r="J350" s="1" t="s">
        <v>26</v>
      </c>
      <c r="K350" s="1">
        <v>198</v>
      </c>
      <c r="L350" s="1">
        <v>28762</v>
      </c>
      <c r="M350" s="2">
        <f t="shared" si="89"/>
        <v>5694876</v>
      </c>
      <c r="N350" s="1">
        <v>1025077.68</v>
      </c>
      <c r="O350" s="1">
        <f t="shared" si="90"/>
        <v>6719953.6799999997</v>
      </c>
      <c r="P350" s="1">
        <v>6783</v>
      </c>
      <c r="Q350" s="1">
        <f t="shared" si="91"/>
        <v>6713170.6799999997</v>
      </c>
      <c r="R350" s="1">
        <f>0.62*U350</f>
        <v>2571330.96</v>
      </c>
      <c r="S350" s="1">
        <f>U350*0.2</f>
        <v>829461.60000000009</v>
      </c>
      <c r="T350" s="1">
        <f t="shared" si="93"/>
        <v>746515.44</v>
      </c>
      <c r="U350" s="1">
        <v>4147308</v>
      </c>
      <c r="V350" s="1">
        <f t="shared" si="88"/>
        <v>2565862.6799999997</v>
      </c>
      <c r="W350" s="1">
        <v>4.4000000000000004</v>
      </c>
    </row>
    <row r="351" spans="1:23" x14ac:dyDescent="0.25">
      <c r="A351" s="1" t="s">
        <v>170</v>
      </c>
      <c r="B351" s="1" t="s">
        <v>34</v>
      </c>
      <c r="C351" s="1" t="s">
        <v>408</v>
      </c>
      <c r="D351" s="1" t="s">
        <v>42</v>
      </c>
      <c r="E351" s="1" t="s">
        <v>43</v>
      </c>
      <c r="F351" s="1" t="s">
        <v>29</v>
      </c>
      <c r="G351" s="1" t="s">
        <v>97</v>
      </c>
      <c r="H351" s="1" t="s">
        <v>399</v>
      </c>
      <c r="I351" s="1" t="s">
        <v>395</v>
      </c>
      <c r="J351" s="1" t="s">
        <v>26</v>
      </c>
      <c r="K351" s="1">
        <v>33</v>
      </c>
      <c r="L351" s="1">
        <v>19674</v>
      </c>
      <c r="M351" s="2">
        <f t="shared" si="89"/>
        <v>649242</v>
      </c>
      <c r="N351" s="1">
        <v>116863.56</v>
      </c>
      <c r="O351" s="1">
        <f t="shared" si="90"/>
        <v>766105.56</v>
      </c>
      <c r="P351" s="1">
        <v>8282</v>
      </c>
      <c r="Q351" s="1">
        <f t="shared" si="91"/>
        <v>757823.56</v>
      </c>
      <c r="R351" s="1">
        <v>250932</v>
      </c>
      <c r="S351" s="1">
        <f t="shared" ref="S351:S352" si="98">U351*0.1</f>
        <v>50186.400000000001</v>
      </c>
      <c r="T351" s="1">
        <f t="shared" si="93"/>
        <v>200745.59999999998</v>
      </c>
      <c r="U351" s="1">
        <v>501864</v>
      </c>
      <c r="V351" s="1">
        <f t="shared" si="88"/>
        <v>255959.56000000006</v>
      </c>
      <c r="W351" s="1">
        <v>4.3</v>
      </c>
    </row>
    <row r="352" spans="1:23" x14ac:dyDescent="0.25">
      <c r="A352" s="1" t="s">
        <v>278</v>
      </c>
      <c r="B352" s="1" t="s">
        <v>37</v>
      </c>
      <c r="C352" s="1" t="s">
        <v>408</v>
      </c>
      <c r="D352" s="1" t="s">
        <v>62</v>
      </c>
      <c r="E352" s="1" t="s">
        <v>43</v>
      </c>
      <c r="F352" s="1" t="s">
        <v>29</v>
      </c>
      <c r="G352" s="1" t="s">
        <v>91</v>
      </c>
      <c r="H352" s="1" t="s">
        <v>398</v>
      </c>
      <c r="I352" s="1" t="s">
        <v>19</v>
      </c>
      <c r="J352" s="1" t="s">
        <v>46</v>
      </c>
      <c r="K352" s="1">
        <v>128</v>
      </c>
      <c r="L352" s="1">
        <v>16670</v>
      </c>
      <c r="M352" s="2">
        <f t="shared" si="89"/>
        <v>2133760</v>
      </c>
      <c r="N352" s="1">
        <v>384076.79999999999</v>
      </c>
      <c r="O352" s="1">
        <f t="shared" si="90"/>
        <v>2517836.7999999998</v>
      </c>
      <c r="P352" s="1">
        <v>6226</v>
      </c>
      <c r="Q352" s="1">
        <f t="shared" si="91"/>
        <v>2511610.7999999998</v>
      </c>
      <c r="R352" s="1">
        <v>1147104</v>
      </c>
      <c r="S352" s="1">
        <f t="shared" si="98"/>
        <v>152947.20000000001</v>
      </c>
      <c r="T352" s="1">
        <f t="shared" si="93"/>
        <v>229420.80000000005</v>
      </c>
      <c r="U352" s="1">
        <v>1529472</v>
      </c>
      <c r="V352" s="1">
        <f t="shared" si="88"/>
        <v>982138.79999999981</v>
      </c>
      <c r="W352" s="1">
        <v>4</v>
      </c>
    </row>
    <row r="353" spans="1:23" x14ac:dyDescent="0.25">
      <c r="A353" s="1" t="s">
        <v>279</v>
      </c>
      <c r="B353" s="1" t="s">
        <v>41</v>
      </c>
      <c r="C353" s="1" t="s">
        <v>408</v>
      </c>
      <c r="D353" s="1" t="s">
        <v>22</v>
      </c>
      <c r="E353" s="1" t="s">
        <v>23</v>
      </c>
      <c r="F353" s="1" t="s">
        <v>17</v>
      </c>
      <c r="G353" s="1" t="s">
        <v>35</v>
      </c>
      <c r="H353" s="1" t="s">
        <v>398</v>
      </c>
      <c r="I353" s="1" t="s">
        <v>19</v>
      </c>
      <c r="J353" s="1" t="s">
        <v>26</v>
      </c>
      <c r="K353" s="1">
        <v>63</v>
      </c>
      <c r="L353" s="1">
        <v>8678</v>
      </c>
      <c r="M353" s="2">
        <f t="shared" si="89"/>
        <v>546714</v>
      </c>
      <c r="N353" s="1">
        <v>98408.52</v>
      </c>
      <c r="O353" s="1">
        <f t="shared" si="90"/>
        <v>645122.52</v>
      </c>
      <c r="P353" s="1">
        <v>7814</v>
      </c>
      <c r="Q353" s="1">
        <f t="shared" si="91"/>
        <v>637308.52</v>
      </c>
      <c r="R353" s="1">
        <f>0.62*U353</f>
        <v>264162.77999999997</v>
      </c>
      <c r="S353" s="1">
        <f>U353*0.2</f>
        <v>85213.8</v>
      </c>
      <c r="T353" s="1">
        <f t="shared" si="93"/>
        <v>76692.420000000042</v>
      </c>
      <c r="U353" s="1">
        <v>426069</v>
      </c>
      <c r="V353" s="1">
        <f t="shared" si="88"/>
        <v>211239.52000000002</v>
      </c>
      <c r="W353" s="1">
        <v>4.7</v>
      </c>
    </row>
    <row r="354" spans="1:23" x14ac:dyDescent="0.25">
      <c r="A354" s="1" t="s">
        <v>235</v>
      </c>
      <c r="B354" s="1" t="s">
        <v>14</v>
      </c>
      <c r="C354" s="1" t="s">
        <v>408</v>
      </c>
      <c r="D354" s="1" t="s">
        <v>74</v>
      </c>
      <c r="E354" s="1" t="s">
        <v>56</v>
      </c>
      <c r="F354" s="1" t="s">
        <v>59</v>
      </c>
      <c r="G354" s="1" t="s">
        <v>60</v>
      </c>
      <c r="H354" s="1" t="s">
        <v>398</v>
      </c>
      <c r="I354" s="1" t="s">
        <v>19</v>
      </c>
      <c r="J354" s="1" t="s">
        <v>26</v>
      </c>
      <c r="K354" s="1">
        <v>106</v>
      </c>
      <c r="L354" s="1">
        <v>6906</v>
      </c>
      <c r="M354" s="2">
        <f t="shared" si="89"/>
        <v>732036</v>
      </c>
      <c r="N354" s="1">
        <v>115954.5</v>
      </c>
      <c r="O354" s="1">
        <f t="shared" si="90"/>
        <v>847990.5</v>
      </c>
      <c r="P354" s="1">
        <v>5597</v>
      </c>
      <c r="Q354" s="1">
        <f t="shared" si="91"/>
        <v>842393.5</v>
      </c>
      <c r="R354" s="1">
        <f>0.7*U354</f>
        <v>343175</v>
      </c>
      <c r="S354" s="1">
        <f t="shared" si="92"/>
        <v>98050</v>
      </c>
      <c r="T354" s="1">
        <f t="shared" si="93"/>
        <v>49025</v>
      </c>
      <c r="U354" s="1">
        <v>490250</v>
      </c>
      <c r="V354" s="1">
        <f t="shared" si="88"/>
        <v>352143.5</v>
      </c>
      <c r="W354" s="1">
        <v>4</v>
      </c>
    </row>
    <row r="355" spans="1:23" x14ac:dyDescent="0.25">
      <c r="A355" s="1" t="s">
        <v>156</v>
      </c>
      <c r="B355" s="1" t="s">
        <v>21</v>
      </c>
      <c r="C355" s="1" t="s">
        <v>408</v>
      </c>
      <c r="D355" s="1" t="s">
        <v>78</v>
      </c>
      <c r="E355" s="1" t="s">
        <v>49</v>
      </c>
      <c r="F355" s="1" t="s">
        <v>29</v>
      </c>
      <c r="G355" s="1" t="s">
        <v>87</v>
      </c>
      <c r="H355" s="1" t="s">
        <v>398</v>
      </c>
      <c r="I355" s="1" t="s">
        <v>395</v>
      </c>
      <c r="J355" s="1" t="s">
        <v>46</v>
      </c>
      <c r="K355" s="1">
        <v>183</v>
      </c>
      <c r="L355" s="1">
        <v>7745</v>
      </c>
      <c r="M355" s="2">
        <f t="shared" si="89"/>
        <v>1417335</v>
      </c>
      <c r="N355" s="1">
        <v>242364.29</v>
      </c>
      <c r="O355" s="1">
        <f t="shared" si="90"/>
        <v>1659699.29</v>
      </c>
      <c r="P355" s="1">
        <v>7054</v>
      </c>
      <c r="Q355" s="1">
        <f t="shared" si="91"/>
        <v>1652645.29</v>
      </c>
      <c r="R355" s="1">
        <v>251899.5</v>
      </c>
      <c r="S355" s="1">
        <f>U355*0.1</f>
        <v>100759.8</v>
      </c>
      <c r="T355" s="1">
        <f t="shared" si="93"/>
        <v>654938.69999999995</v>
      </c>
      <c r="U355" s="1">
        <v>1007598</v>
      </c>
      <c r="V355" s="1">
        <f t="shared" si="88"/>
        <v>645047.29</v>
      </c>
      <c r="W355" s="1">
        <v>4.8</v>
      </c>
    </row>
    <row r="356" spans="1:23" x14ac:dyDescent="0.25">
      <c r="A356" s="1" t="s">
        <v>280</v>
      </c>
      <c r="B356" s="1" t="s">
        <v>37</v>
      </c>
      <c r="C356" s="1" t="s">
        <v>408</v>
      </c>
      <c r="D356" s="1" t="s">
        <v>62</v>
      </c>
      <c r="E356" s="1" t="s">
        <v>43</v>
      </c>
      <c r="F356" s="1" t="s">
        <v>17</v>
      </c>
      <c r="G356" s="1" t="s">
        <v>75</v>
      </c>
      <c r="H356" s="1" t="s">
        <v>398</v>
      </c>
      <c r="I356" s="1" t="s">
        <v>395</v>
      </c>
      <c r="J356" s="1" t="s">
        <v>46</v>
      </c>
      <c r="K356" s="1">
        <v>52</v>
      </c>
      <c r="L356" s="1">
        <v>34863</v>
      </c>
      <c r="M356" s="2">
        <f t="shared" si="89"/>
        <v>1812876</v>
      </c>
      <c r="N356" s="1">
        <v>277370.03000000003</v>
      </c>
      <c r="O356" s="1">
        <f t="shared" si="90"/>
        <v>2090246.03</v>
      </c>
      <c r="P356" s="1">
        <v>6768</v>
      </c>
      <c r="Q356" s="1">
        <f t="shared" si="91"/>
        <v>2083478.03</v>
      </c>
      <c r="R356" s="1">
        <f>0.62*U356</f>
        <v>790234.64</v>
      </c>
      <c r="S356" s="1">
        <f>U356*0.2</f>
        <v>254914.40000000002</v>
      </c>
      <c r="T356" s="1">
        <f t="shared" si="93"/>
        <v>229422.95999999996</v>
      </c>
      <c r="U356" s="1">
        <v>1274572</v>
      </c>
      <c r="V356" s="1">
        <f t="shared" si="88"/>
        <v>808906.03</v>
      </c>
      <c r="W356" s="1">
        <v>4.5999999999999996</v>
      </c>
    </row>
    <row r="357" spans="1:23" x14ac:dyDescent="0.25">
      <c r="A357" s="1" t="s">
        <v>281</v>
      </c>
      <c r="B357" s="1" t="s">
        <v>37</v>
      </c>
      <c r="C357" s="1" t="s">
        <v>408</v>
      </c>
      <c r="D357" s="1" t="s">
        <v>48</v>
      </c>
      <c r="E357" s="1" t="s">
        <v>49</v>
      </c>
      <c r="F357" s="1" t="s">
        <v>59</v>
      </c>
      <c r="G357" s="1" t="s">
        <v>121</v>
      </c>
      <c r="H357" s="1" t="s">
        <v>399</v>
      </c>
      <c r="I357" s="1" t="s">
        <v>396</v>
      </c>
      <c r="J357" s="1" t="s">
        <v>46</v>
      </c>
      <c r="K357" s="1">
        <v>21</v>
      </c>
      <c r="L357" s="1">
        <v>27092</v>
      </c>
      <c r="M357" s="2">
        <f t="shared" si="89"/>
        <v>568932</v>
      </c>
      <c r="N357" s="1">
        <v>97287.37</v>
      </c>
      <c r="O357" s="1">
        <f t="shared" si="90"/>
        <v>666219.37</v>
      </c>
      <c r="P357" s="1">
        <v>7339</v>
      </c>
      <c r="Q357" s="1">
        <f t="shared" si="91"/>
        <v>658880.37</v>
      </c>
      <c r="R357" s="1">
        <f>0.7*U357</f>
        <v>331102.8</v>
      </c>
      <c r="S357" s="1">
        <f t="shared" si="92"/>
        <v>94600.8</v>
      </c>
      <c r="T357" s="1">
        <f t="shared" si="93"/>
        <v>47300.400000000023</v>
      </c>
      <c r="U357" s="1">
        <v>473004</v>
      </c>
      <c r="V357" s="1">
        <f t="shared" si="88"/>
        <v>185876.37</v>
      </c>
      <c r="W357" s="1">
        <v>4.5</v>
      </c>
    </row>
    <row r="358" spans="1:23" x14ac:dyDescent="0.25">
      <c r="A358" s="1" t="s">
        <v>282</v>
      </c>
      <c r="B358" s="1" t="s">
        <v>41</v>
      </c>
      <c r="C358" s="1" t="s">
        <v>408</v>
      </c>
      <c r="D358" s="1" t="s">
        <v>62</v>
      </c>
      <c r="E358" s="1" t="s">
        <v>43</v>
      </c>
      <c r="F358" s="1" t="s">
        <v>24</v>
      </c>
      <c r="G358" s="1" t="s">
        <v>143</v>
      </c>
      <c r="H358" s="1" t="s">
        <v>398</v>
      </c>
      <c r="I358" s="1" t="s">
        <v>19</v>
      </c>
      <c r="J358" s="1" t="s">
        <v>46</v>
      </c>
      <c r="K358" s="1">
        <v>164</v>
      </c>
      <c r="L358" s="1">
        <v>2882</v>
      </c>
      <c r="M358" s="2">
        <f t="shared" si="89"/>
        <v>472648</v>
      </c>
      <c r="N358" s="1">
        <v>80822.81</v>
      </c>
      <c r="O358" s="1">
        <f t="shared" si="90"/>
        <v>553470.81000000006</v>
      </c>
      <c r="P358" s="1">
        <v>5369</v>
      </c>
      <c r="Q358" s="1">
        <f t="shared" si="91"/>
        <v>548101.81000000006</v>
      </c>
      <c r="R358" s="1">
        <v>162606</v>
      </c>
      <c r="S358" s="1">
        <f t="shared" si="92"/>
        <v>65042.400000000001</v>
      </c>
      <c r="T358" s="1">
        <f t="shared" si="93"/>
        <v>97563.6</v>
      </c>
      <c r="U358" s="1">
        <v>325212</v>
      </c>
      <c r="V358" s="1">
        <f t="shared" si="88"/>
        <v>222889.81000000006</v>
      </c>
      <c r="W358" s="1">
        <v>3.7</v>
      </c>
    </row>
    <row r="359" spans="1:23" x14ac:dyDescent="0.25">
      <c r="A359" s="1" t="s">
        <v>135</v>
      </c>
      <c r="B359" s="1" t="s">
        <v>77</v>
      </c>
      <c r="C359" s="1" t="s">
        <v>408</v>
      </c>
      <c r="D359" s="1" t="s">
        <v>48</v>
      </c>
      <c r="E359" s="1" t="s">
        <v>49</v>
      </c>
      <c r="F359" s="1" t="s">
        <v>29</v>
      </c>
      <c r="G359" s="1" t="s">
        <v>91</v>
      </c>
      <c r="H359" s="1" t="s">
        <v>399</v>
      </c>
      <c r="I359" s="1" t="s">
        <v>19</v>
      </c>
      <c r="J359" s="1" t="s">
        <v>26</v>
      </c>
      <c r="K359" s="1">
        <v>85</v>
      </c>
      <c r="L359" s="1">
        <v>9788</v>
      </c>
      <c r="M359" s="2">
        <f t="shared" si="89"/>
        <v>831980</v>
      </c>
      <c r="N359" s="1">
        <v>149756.4</v>
      </c>
      <c r="O359" s="1">
        <f t="shared" si="90"/>
        <v>981736.4</v>
      </c>
      <c r="P359" s="1">
        <v>7956</v>
      </c>
      <c r="Q359" s="1">
        <f t="shared" si="91"/>
        <v>973780.4</v>
      </c>
      <c r="R359" s="1">
        <v>440576.25</v>
      </c>
      <c r="S359" s="1">
        <f t="shared" ref="S359:S360" si="99">U359*0.1</f>
        <v>58743.5</v>
      </c>
      <c r="T359" s="1">
        <f t="shared" si="93"/>
        <v>88115.25</v>
      </c>
      <c r="U359" s="1">
        <v>587435</v>
      </c>
      <c r="V359" s="1">
        <f t="shared" si="88"/>
        <v>386345.4</v>
      </c>
      <c r="W359" s="1">
        <v>4</v>
      </c>
    </row>
    <row r="360" spans="1:23" x14ac:dyDescent="0.25">
      <c r="A360" s="1" t="s">
        <v>283</v>
      </c>
      <c r="B360" s="1" t="s">
        <v>77</v>
      </c>
      <c r="C360" s="1" t="s">
        <v>408</v>
      </c>
      <c r="D360" s="1" t="s">
        <v>62</v>
      </c>
      <c r="E360" s="1" t="s">
        <v>43</v>
      </c>
      <c r="F360" s="1" t="s">
        <v>29</v>
      </c>
      <c r="G360" s="1" t="s">
        <v>30</v>
      </c>
      <c r="H360" s="1" t="s">
        <v>399</v>
      </c>
      <c r="I360" s="1" t="s">
        <v>396</v>
      </c>
      <c r="J360" s="1" t="s">
        <v>26</v>
      </c>
      <c r="K360" s="1">
        <v>157</v>
      </c>
      <c r="L360" s="1">
        <v>4803</v>
      </c>
      <c r="M360" s="2">
        <f t="shared" si="89"/>
        <v>754071</v>
      </c>
      <c r="N360" s="1">
        <v>135732.78</v>
      </c>
      <c r="O360" s="1">
        <f t="shared" si="90"/>
        <v>889803.78</v>
      </c>
      <c r="P360" s="1">
        <v>9641</v>
      </c>
      <c r="Q360" s="1">
        <f t="shared" si="91"/>
        <v>880162.78</v>
      </c>
      <c r="R360" s="1">
        <v>245391</v>
      </c>
      <c r="S360" s="1">
        <f t="shared" si="99"/>
        <v>49078.200000000004</v>
      </c>
      <c r="T360" s="1">
        <f t="shared" si="93"/>
        <v>196312.8</v>
      </c>
      <c r="U360" s="1">
        <v>490782</v>
      </c>
      <c r="V360" s="1">
        <f t="shared" si="88"/>
        <v>389380.78</v>
      </c>
      <c r="W360" s="1">
        <v>4.5</v>
      </c>
    </row>
    <row r="361" spans="1:23" x14ac:dyDescent="0.25">
      <c r="A361" s="1" t="s">
        <v>284</v>
      </c>
      <c r="B361" s="1" t="s">
        <v>58</v>
      </c>
      <c r="C361" s="1" t="s">
        <v>408</v>
      </c>
      <c r="D361" s="1" t="s">
        <v>55</v>
      </c>
      <c r="E361" s="1" t="s">
        <v>56</v>
      </c>
      <c r="F361" s="1" t="s">
        <v>59</v>
      </c>
      <c r="G361" s="1" t="s">
        <v>103</v>
      </c>
      <c r="H361" s="1" t="s">
        <v>398</v>
      </c>
      <c r="I361" s="1" t="s">
        <v>397</v>
      </c>
      <c r="J361" s="1" t="s">
        <v>46</v>
      </c>
      <c r="K361" s="1">
        <v>111</v>
      </c>
      <c r="L361" s="1">
        <v>3738</v>
      </c>
      <c r="M361" s="2">
        <f t="shared" si="89"/>
        <v>414918</v>
      </c>
      <c r="N361" s="1">
        <v>70950.98</v>
      </c>
      <c r="O361" s="1">
        <f t="shared" si="90"/>
        <v>485868.98</v>
      </c>
      <c r="P361" s="1">
        <v>7579</v>
      </c>
      <c r="Q361" s="1">
        <f t="shared" si="91"/>
        <v>478289.98</v>
      </c>
      <c r="R361" s="1">
        <f t="shared" ref="R361:R362" si="100">0.7*U361</f>
        <v>194094.59999999998</v>
      </c>
      <c r="S361" s="1">
        <f t="shared" si="92"/>
        <v>55455.600000000006</v>
      </c>
      <c r="T361" s="1">
        <f t="shared" si="93"/>
        <v>27727.800000000017</v>
      </c>
      <c r="U361" s="1">
        <v>277278</v>
      </c>
      <c r="V361" s="1">
        <f t="shared" si="88"/>
        <v>201011.97999999998</v>
      </c>
      <c r="W361" s="1">
        <v>4.4000000000000004</v>
      </c>
    </row>
    <row r="362" spans="1:23" x14ac:dyDescent="0.25">
      <c r="A362" s="1" t="s">
        <v>202</v>
      </c>
      <c r="B362" s="1" t="s">
        <v>58</v>
      </c>
      <c r="C362" s="1" t="s">
        <v>408</v>
      </c>
      <c r="D362" s="1" t="s">
        <v>42</v>
      </c>
      <c r="E362" s="1" t="s">
        <v>43</v>
      </c>
      <c r="F362" s="1" t="s">
        <v>59</v>
      </c>
      <c r="G362" s="1" t="s">
        <v>67</v>
      </c>
      <c r="H362" s="1" t="s">
        <v>399</v>
      </c>
      <c r="I362" s="1" t="s">
        <v>19</v>
      </c>
      <c r="J362" s="1" t="s">
        <v>26</v>
      </c>
      <c r="K362" s="1">
        <v>33</v>
      </c>
      <c r="L362" s="1">
        <v>36675</v>
      </c>
      <c r="M362" s="2">
        <f t="shared" si="89"/>
        <v>1210275</v>
      </c>
      <c r="N362" s="1">
        <v>185172.07</v>
      </c>
      <c r="O362" s="1">
        <f t="shared" si="90"/>
        <v>1395447.07</v>
      </c>
      <c r="P362" s="1">
        <v>8072</v>
      </c>
      <c r="Q362" s="1">
        <f t="shared" si="91"/>
        <v>1387375.07</v>
      </c>
      <c r="R362" s="1">
        <f t="shared" si="100"/>
        <v>550242</v>
      </c>
      <c r="S362" s="1">
        <f t="shared" si="92"/>
        <v>157212</v>
      </c>
      <c r="T362" s="1">
        <f t="shared" si="93"/>
        <v>78606</v>
      </c>
      <c r="U362" s="1">
        <v>786060</v>
      </c>
      <c r="V362" s="1">
        <f t="shared" si="88"/>
        <v>601315.07000000007</v>
      </c>
      <c r="W362" s="1">
        <v>4.0999999999999996</v>
      </c>
    </row>
    <row r="363" spans="1:23" x14ac:dyDescent="0.25">
      <c r="A363" s="1" t="s">
        <v>232</v>
      </c>
      <c r="B363" s="1" t="s">
        <v>28</v>
      </c>
      <c r="C363" s="1" t="s">
        <v>408</v>
      </c>
      <c r="D363" s="1" t="s">
        <v>52</v>
      </c>
      <c r="E363" s="1" t="s">
        <v>23</v>
      </c>
      <c r="F363" s="1" t="s">
        <v>24</v>
      </c>
      <c r="G363" s="1" t="s">
        <v>63</v>
      </c>
      <c r="H363" s="1" t="s">
        <v>398</v>
      </c>
      <c r="I363" s="1" t="s">
        <v>396</v>
      </c>
      <c r="J363" s="1" t="s">
        <v>26</v>
      </c>
      <c r="K363" s="1">
        <v>47</v>
      </c>
      <c r="L363" s="1">
        <v>23506</v>
      </c>
      <c r="M363" s="2">
        <f t="shared" si="89"/>
        <v>1104782</v>
      </c>
      <c r="N363" s="1">
        <v>174997.47</v>
      </c>
      <c r="O363" s="1">
        <f t="shared" si="90"/>
        <v>1279779.47</v>
      </c>
      <c r="P363" s="1">
        <v>8662</v>
      </c>
      <c r="Q363" s="1">
        <f t="shared" si="91"/>
        <v>1271117.47</v>
      </c>
      <c r="R363" s="1">
        <v>460200.5</v>
      </c>
      <c r="S363" s="1">
        <f t="shared" si="92"/>
        <v>184080.2</v>
      </c>
      <c r="T363" s="1">
        <f t="shared" si="93"/>
        <v>276120.30000000005</v>
      </c>
      <c r="U363" s="1">
        <v>920401</v>
      </c>
      <c r="V363" s="1">
        <f t="shared" si="88"/>
        <v>350716.47</v>
      </c>
      <c r="W363" s="1">
        <v>5</v>
      </c>
    </row>
    <row r="364" spans="1:23" x14ac:dyDescent="0.25">
      <c r="A364" s="1" t="s">
        <v>247</v>
      </c>
      <c r="B364" s="1" t="s">
        <v>14</v>
      </c>
      <c r="C364" s="1" t="s">
        <v>408</v>
      </c>
      <c r="D364" s="1" t="s">
        <v>62</v>
      </c>
      <c r="E364" s="1" t="s">
        <v>43</v>
      </c>
      <c r="F364" s="1" t="s">
        <v>59</v>
      </c>
      <c r="G364" s="1" t="s">
        <v>60</v>
      </c>
      <c r="H364" s="1" t="s">
        <v>399</v>
      </c>
      <c r="I364" s="1" t="s">
        <v>396</v>
      </c>
      <c r="J364" s="1" t="s">
        <v>46</v>
      </c>
      <c r="K364" s="1">
        <v>72</v>
      </c>
      <c r="L364" s="1">
        <v>33040</v>
      </c>
      <c r="M364" s="2">
        <f t="shared" si="89"/>
        <v>2378880</v>
      </c>
      <c r="N364" s="1">
        <v>393942.53</v>
      </c>
      <c r="O364" s="1">
        <f t="shared" si="90"/>
        <v>2772822.5300000003</v>
      </c>
      <c r="P364" s="1">
        <v>9594</v>
      </c>
      <c r="Q364" s="1">
        <f t="shared" si="91"/>
        <v>2763228.5300000003</v>
      </c>
      <c r="R364" s="1">
        <f>0.7*U364</f>
        <v>1093478.3999999999</v>
      </c>
      <c r="S364" s="1">
        <f t="shared" si="92"/>
        <v>312422.40000000002</v>
      </c>
      <c r="T364" s="1">
        <f t="shared" si="93"/>
        <v>156211.20000000019</v>
      </c>
      <c r="U364" s="1">
        <v>1562112</v>
      </c>
      <c r="V364" s="1">
        <f t="shared" si="88"/>
        <v>1201116.5300000003</v>
      </c>
      <c r="W364" s="1">
        <v>4.2</v>
      </c>
    </row>
    <row r="365" spans="1:23" x14ac:dyDescent="0.25">
      <c r="A365" s="1" t="s">
        <v>153</v>
      </c>
      <c r="B365" s="1" t="s">
        <v>51</v>
      </c>
      <c r="C365" s="1" t="s">
        <v>408</v>
      </c>
      <c r="D365" s="1" t="s">
        <v>52</v>
      </c>
      <c r="E365" s="1" t="s">
        <v>23</v>
      </c>
      <c r="F365" s="1" t="s">
        <v>17</v>
      </c>
      <c r="G365" s="1" t="s">
        <v>18</v>
      </c>
      <c r="H365" s="1" t="s">
        <v>398</v>
      </c>
      <c r="I365" s="1" t="s">
        <v>396</v>
      </c>
      <c r="J365" s="1" t="s">
        <v>46</v>
      </c>
      <c r="K365" s="1">
        <v>172</v>
      </c>
      <c r="L365" s="1">
        <v>5977</v>
      </c>
      <c r="M365" s="2">
        <f t="shared" si="89"/>
        <v>1028044</v>
      </c>
      <c r="N365" s="1">
        <v>170244.09</v>
      </c>
      <c r="O365" s="1">
        <f t="shared" si="90"/>
        <v>1198288.0900000001</v>
      </c>
      <c r="P365" s="1">
        <v>5373</v>
      </c>
      <c r="Q365" s="1">
        <f t="shared" si="91"/>
        <v>1192915.0900000001</v>
      </c>
      <c r="R365" s="1">
        <f>0.62*U365</f>
        <v>453006.72</v>
      </c>
      <c r="S365" s="1">
        <f>U365*0.2</f>
        <v>146131.20000000001</v>
      </c>
      <c r="T365" s="1">
        <f t="shared" si="93"/>
        <v>131518.08000000007</v>
      </c>
      <c r="U365" s="1">
        <v>730656</v>
      </c>
      <c r="V365" s="1">
        <f t="shared" si="88"/>
        <v>462259.09000000008</v>
      </c>
      <c r="W365" s="1">
        <v>3.6</v>
      </c>
    </row>
    <row r="366" spans="1:23" x14ac:dyDescent="0.25">
      <c r="A366" s="1" t="s">
        <v>285</v>
      </c>
      <c r="B366" s="1" t="s">
        <v>58</v>
      </c>
      <c r="C366" s="1" t="s">
        <v>408</v>
      </c>
      <c r="D366" s="1" t="s">
        <v>42</v>
      </c>
      <c r="E366" s="1" t="s">
        <v>43</v>
      </c>
      <c r="F366" s="1" t="s">
        <v>29</v>
      </c>
      <c r="G366" s="1" t="s">
        <v>97</v>
      </c>
      <c r="H366" s="1" t="s">
        <v>399</v>
      </c>
      <c r="I366" s="1" t="s">
        <v>19</v>
      </c>
      <c r="J366" s="1" t="s">
        <v>26</v>
      </c>
      <c r="K366" s="1">
        <v>177</v>
      </c>
      <c r="L366" s="1">
        <v>21894</v>
      </c>
      <c r="M366" s="2">
        <f t="shared" si="89"/>
        <v>3875238</v>
      </c>
      <c r="N366" s="1">
        <v>662665.69999999995</v>
      </c>
      <c r="O366" s="1">
        <f t="shared" si="90"/>
        <v>4537903.7</v>
      </c>
      <c r="P366" s="1">
        <v>6093</v>
      </c>
      <c r="Q366" s="1">
        <f t="shared" si="91"/>
        <v>4531810.7</v>
      </c>
      <c r="R366" s="1">
        <v>1466533.5</v>
      </c>
      <c r="S366" s="1">
        <f>U366*0.1</f>
        <v>293306.7</v>
      </c>
      <c r="T366" s="1">
        <f t="shared" si="93"/>
        <v>1173226.7999999998</v>
      </c>
      <c r="U366" s="1">
        <v>2933067</v>
      </c>
      <c r="V366" s="1">
        <f t="shared" si="88"/>
        <v>1598743.7000000002</v>
      </c>
      <c r="W366" s="1">
        <v>4.3</v>
      </c>
    </row>
    <row r="367" spans="1:23" x14ac:dyDescent="0.25">
      <c r="A367" s="1" t="s">
        <v>98</v>
      </c>
      <c r="B367" s="1" t="s">
        <v>21</v>
      </c>
      <c r="C367" s="1" t="s">
        <v>408</v>
      </c>
      <c r="D367" s="1" t="s">
        <v>48</v>
      </c>
      <c r="E367" s="1" t="s">
        <v>49</v>
      </c>
      <c r="F367" s="1" t="s">
        <v>17</v>
      </c>
      <c r="G367" s="1" t="s">
        <v>72</v>
      </c>
      <c r="H367" s="1" t="s">
        <v>399</v>
      </c>
      <c r="I367" s="1" t="s">
        <v>19</v>
      </c>
      <c r="J367" s="1" t="s">
        <v>46</v>
      </c>
      <c r="K367" s="1">
        <v>60</v>
      </c>
      <c r="L367" s="1">
        <v>12053</v>
      </c>
      <c r="M367" s="2">
        <f t="shared" si="89"/>
        <v>723180</v>
      </c>
      <c r="N367" s="1">
        <v>114551.71</v>
      </c>
      <c r="O367" s="1">
        <f t="shared" si="90"/>
        <v>837731.71</v>
      </c>
      <c r="P367" s="1">
        <v>6241</v>
      </c>
      <c r="Q367" s="1">
        <f t="shared" si="91"/>
        <v>831490.71</v>
      </c>
      <c r="R367" s="1">
        <f>0.62*U367</f>
        <v>309243.59999999998</v>
      </c>
      <c r="S367" s="1">
        <f>U367*0.2</f>
        <v>99756</v>
      </c>
      <c r="T367" s="1">
        <f t="shared" si="93"/>
        <v>89780.400000000023</v>
      </c>
      <c r="U367" s="1">
        <v>498780</v>
      </c>
      <c r="V367" s="1">
        <f t="shared" si="88"/>
        <v>332710.70999999996</v>
      </c>
      <c r="W367" s="1">
        <v>4.4000000000000004</v>
      </c>
    </row>
    <row r="368" spans="1:23" x14ac:dyDescent="0.25">
      <c r="A368" s="1" t="s">
        <v>205</v>
      </c>
      <c r="B368" s="1" t="s">
        <v>69</v>
      </c>
      <c r="C368" s="1" t="s">
        <v>408</v>
      </c>
      <c r="D368" s="1" t="s">
        <v>78</v>
      </c>
      <c r="E368" s="1" t="s">
        <v>49</v>
      </c>
      <c r="F368" s="1" t="s">
        <v>59</v>
      </c>
      <c r="G368" s="1" t="s">
        <v>85</v>
      </c>
      <c r="H368" s="1" t="s">
        <v>399</v>
      </c>
      <c r="I368" s="1" t="s">
        <v>396</v>
      </c>
      <c r="J368" s="1" t="s">
        <v>46</v>
      </c>
      <c r="K368" s="1">
        <v>12</v>
      </c>
      <c r="L368" s="1">
        <v>21634</v>
      </c>
      <c r="M368" s="2">
        <f t="shared" si="89"/>
        <v>259608</v>
      </c>
      <c r="N368" s="1">
        <v>42991.08</v>
      </c>
      <c r="O368" s="1">
        <f t="shared" si="90"/>
        <v>302599.08</v>
      </c>
      <c r="P368" s="1">
        <v>7225</v>
      </c>
      <c r="Q368" s="1">
        <f t="shared" si="91"/>
        <v>295374.08000000002</v>
      </c>
      <c r="R368" s="1">
        <f>0.7*U368</f>
        <v>119204.4</v>
      </c>
      <c r="S368" s="1">
        <f t="shared" si="92"/>
        <v>34058.400000000001</v>
      </c>
      <c r="T368" s="1">
        <f t="shared" si="93"/>
        <v>17029.200000000012</v>
      </c>
      <c r="U368" s="1">
        <v>170292</v>
      </c>
      <c r="V368" s="1">
        <f t="shared" si="88"/>
        <v>125082.08000000002</v>
      </c>
      <c r="W368" s="1">
        <v>3.6</v>
      </c>
    </row>
    <row r="369" spans="1:23" x14ac:dyDescent="0.25">
      <c r="A369" s="1" t="s">
        <v>255</v>
      </c>
      <c r="B369" s="1" t="s">
        <v>37</v>
      </c>
      <c r="C369" s="1" t="s">
        <v>408</v>
      </c>
      <c r="D369" s="1" t="s">
        <v>48</v>
      </c>
      <c r="E369" s="1" t="s">
        <v>49</v>
      </c>
      <c r="F369" s="1" t="s">
        <v>17</v>
      </c>
      <c r="G369" s="1" t="s">
        <v>75</v>
      </c>
      <c r="H369" s="1" t="s">
        <v>399</v>
      </c>
      <c r="I369" s="1" t="s">
        <v>395</v>
      </c>
      <c r="J369" s="1" t="s">
        <v>46</v>
      </c>
      <c r="K369" s="1">
        <v>24</v>
      </c>
      <c r="L369" s="1">
        <v>20526</v>
      </c>
      <c r="M369" s="2">
        <f t="shared" si="89"/>
        <v>492624</v>
      </c>
      <c r="N369" s="1">
        <v>75371.47</v>
      </c>
      <c r="O369" s="1">
        <f t="shared" si="90"/>
        <v>567995.47</v>
      </c>
      <c r="P369" s="1">
        <v>8665</v>
      </c>
      <c r="Q369" s="1">
        <f t="shared" si="91"/>
        <v>559330.47</v>
      </c>
      <c r="R369" s="1">
        <f>0.62*U369</f>
        <v>247960.32000000001</v>
      </c>
      <c r="S369" s="1">
        <f>U369*0.2</f>
        <v>79987.200000000012</v>
      </c>
      <c r="T369" s="1">
        <f t="shared" si="93"/>
        <v>71988.479999999981</v>
      </c>
      <c r="U369" s="1">
        <v>399936</v>
      </c>
      <c r="V369" s="1">
        <f t="shared" si="88"/>
        <v>159394.46999999997</v>
      </c>
      <c r="W369" s="1">
        <v>4.0999999999999996</v>
      </c>
    </row>
    <row r="370" spans="1:23" x14ac:dyDescent="0.25">
      <c r="A370" s="1" t="s">
        <v>230</v>
      </c>
      <c r="B370" s="1" t="s">
        <v>109</v>
      </c>
      <c r="C370" s="1" t="s">
        <v>408</v>
      </c>
      <c r="D370" s="1" t="s">
        <v>55</v>
      </c>
      <c r="E370" s="1" t="s">
        <v>56</v>
      </c>
      <c r="F370" s="1" t="s">
        <v>29</v>
      </c>
      <c r="G370" s="1" t="s">
        <v>91</v>
      </c>
      <c r="H370" s="1" t="s">
        <v>398</v>
      </c>
      <c r="I370" s="1" t="s">
        <v>19</v>
      </c>
      <c r="J370" s="1" t="s">
        <v>46</v>
      </c>
      <c r="K370" s="1">
        <v>62</v>
      </c>
      <c r="L370" s="1">
        <v>19383</v>
      </c>
      <c r="M370" s="2">
        <f t="shared" si="89"/>
        <v>1201746</v>
      </c>
      <c r="N370" s="1">
        <v>216314.28</v>
      </c>
      <c r="O370" s="1">
        <f t="shared" si="90"/>
        <v>1418060.28</v>
      </c>
      <c r="P370" s="1">
        <v>9076</v>
      </c>
      <c r="Q370" s="1">
        <f t="shared" si="91"/>
        <v>1408984.28</v>
      </c>
      <c r="R370" s="1">
        <v>432884</v>
      </c>
      <c r="S370" s="1">
        <f>U370*0.1</f>
        <v>86576.8</v>
      </c>
      <c r="T370" s="1">
        <f t="shared" si="93"/>
        <v>346307.19999999995</v>
      </c>
      <c r="U370" s="1">
        <v>865768</v>
      </c>
      <c r="V370" s="1">
        <f t="shared" si="88"/>
        <v>543216.28</v>
      </c>
      <c r="W370" s="1">
        <v>4.4000000000000004</v>
      </c>
    </row>
    <row r="371" spans="1:23" x14ac:dyDescent="0.25">
      <c r="A371" s="1" t="s">
        <v>54</v>
      </c>
      <c r="B371" s="1" t="s">
        <v>28</v>
      </c>
      <c r="C371" s="1" t="s">
        <v>408</v>
      </c>
      <c r="D371" s="1" t="s">
        <v>48</v>
      </c>
      <c r="E371" s="1" t="s">
        <v>49</v>
      </c>
      <c r="F371" s="1" t="s">
        <v>24</v>
      </c>
      <c r="G371" s="1" t="s">
        <v>25</v>
      </c>
      <c r="H371" s="1" t="s">
        <v>399</v>
      </c>
      <c r="I371" s="1" t="s">
        <v>396</v>
      </c>
      <c r="J371" s="1" t="s">
        <v>46</v>
      </c>
      <c r="K371" s="1">
        <v>121</v>
      </c>
      <c r="L371" s="1">
        <v>26490</v>
      </c>
      <c r="M371" s="2">
        <f t="shared" si="89"/>
        <v>3205290</v>
      </c>
      <c r="N371" s="1">
        <v>576952.19999999995</v>
      </c>
      <c r="O371" s="1">
        <f t="shared" si="90"/>
        <v>3782242.2</v>
      </c>
      <c r="P371" s="1">
        <v>7053</v>
      </c>
      <c r="Q371" s="1">
        <f t="shared" si="91"/>
        <v>3775189.2</v>
      </c>
      <c r="R371" s="1">
        <v>1986336</v>
      </c>
      <c r="S371" s="1">
        <f t="shared" si="92"/>
        <v>529689.59999999998</v>
      </c>
      <c r="T371" s="1">
        <f t="shared" si="93"/>
        <v>132422.39999999991</v>
      </c>
      <c r="U371" s="1">
        <v>2648448</v>
      </c>
      <c r="V371" s="1">
        <f t="shared" si="88"/>
        <v>1126741.2000000002</v>
      </c>
      <c r="W371" s="1">
        <v>3.8</v>
      </c>
    </row>
    <row r="372" spans="1:23" x14ac:dyDescent="0.25">
      <c r="A372" s="1" t="s">
        <v>73</v>
      </c>
      <c r="B372" s="1" t="s">
        <v>21</v>
      </c>
      <c r="C372" s="1" t="s">
        <v>408</v>
      </c>
      <c r="D372" s="1" t="s">
        <v>62</v>
      </c>
      <c r="E372" s="1" t="s">
        <v>43</v>
      </c>
      <c r="F372" s="1" t="s">
        <v>29</v>
      </c>
      <c r="G372" s="1" t="s">
        <v>53</v>
      </c>
      <c r="H372" s="1" t="s">
        <v>399</v>
      </c>
      <c r="I372" s="1" t="s">
        <v>19</v>
      </c>
      <c r="J372" s="1" t="s">
        <v>46</v>
      </c>
      <c r="K372" s="1">
        <v>72</v>
      </c>
      <c r="L372" s="1">
        <v>31041</v>
      </c>
      <c r="M372" s="2">
        <f t="shared" si="89"/>
        <v>2234952</v>
      </c>
      <c r="N372" s="1">
        <v>370108.05</v>
      </c>
      <c r="O372" s="1">
        <f t="shared" si="90"/>
        <v>2605060.0499999998</v>
      </c>
      <c r="P372" s="1">
        <v>5933</v>
      </c>
      <c r="Q372" s="1">
        <f t="shared" si="91"/>
        <v>2599127.0499999998</v>
      </c>
      <c r="R372" s="1">
        <v>1067364</v>
      </c>
      <c r="S372" s="1">
        <f>U372*0.1</f>
        <v>142315.20000000001</v>
      </c>
      <c r="T372" s="1">
        <f t="shared" si="93"/>
        <v>213472.80000000005</v>
      </c>
      <c r="U372" s="1">
        <v>1423152</v>
      </c>
      <c r="V372" s="1">
        <f t="shared" si="88"/>
        <v>1175975.0499999998</v>
      </c>
      <c r="W372" s="1">
        <v>4.8</v>
      </c>
    </row>
    <row r="373" spans="1:23" x14ac:dyDescent="0.25">
      <c r="A373" s="1" t="s">
        <v>286</v>
      </c>
      <c r="B373" s="1" t="s">
        <v>32</v>
      </c>
      <c r="C373" s="1" t="s">
        <v>408</v>
      </c>
      <c r="D373" s="1" t="s">
        <v>22</v>
      </c>
      <c r="E373" s="1" t="s">
        <v>23</v>
      </c>
      <c r="F373" s="1" t="s">
        <v>59</v>
      </c>
      <c r="G373" s="1" t="s">
        <v>85</v>
      </c>
      <c r="H373" s="1" t="s">
        <v>399</v>
      </c>
      <c r="I373" s="1" t="s">
        <v>19</v>
      </c>
      <c r="J373" s="1" t="s">
        <v>46</v>
      </c>
      <c r="K373" s="1">
        <v>27</v>
      </c>
      <c r="L373" s="1">
        <v>17769</v>
      </c>
      <c r="M373" s="2">
        <f t="shared" si="89"/>
        <v>479763</v>
      </c>
      <c r="N373" s="1">
        <v>82039.47</v>
      </c>
      <c r="O373" s="1">
        <f t="shared" si="90"/>
        <v>561802.47</v>
      </c>
      <c r="P373" s="1">
        <v>5883</v>
      </c>
      <c r="Q373" s="1">
        <f t="shared" si="91"/>
        <v>555919.47</v>
      </c>
      <c r="R373" s="1">
        <f>0.7*U373</f>
        <v>252598.49999999997</v>
      </c>
      <c r="S373" s="1">
        <f t="shared" si="92"/>
        <v>72171</v>
      </c>
      <c r="T373" s="1">
        <f t="shared" si="93"/>
        <v>36085.500000000029</v>
      </c>
      <c r="U373" s="1">
        <v>360855</v>
      </c>
      <c r="V373" s="1">
        <f t="shared" si="88"/>
        <v>195064.46999999997</v>
      </c>
      <c r="W373" s="1">
        <v>4.9000000000000004</v>
      </c>
    </row>
    <row r="374" spans="1:23" x14ac:dyDescent="0.25">
      <c r="A374" s="1" t="s">
        <v>287</v>
      </c>
      <c r="B374" s="1" t="s">
        <v>32</v>
      </c>
      <c r="C374" s="1" t="s">
        <v>408</v>
      </c>
      <c r="D374" s="1" t="s">
        <v>78</v>
      </c>
      <c r="E374" s="1" t="s">
        <v>49</v>
      </c>
      <c r="F374" s="1" t="s">
        <v>17</v>
      </c>
      <c r="G374" s="1" t="s">
        <v>35</v>
      </c>
      <c r="H374" s="1" t="s">
        <v>398</v>
      </c>
      <c r="I374" s="1" t="s">
        <v>395</v>
      </c>
      <c r="J374" s="1" t="s">
        <v>26</v>
      </c>
      <c r="K374" s="1">
        <v>177</v>
      </c>
      <c r="L374" s="1">
        <v>27394</v>
      </c>
      <c r="M374" s="2">
        <f t="shared" si="89"/>
        <v>4848738</v>
      </c>
      <c r="N374" s="1">
        <v>741856.91</v>
      </c>
      <c r="O374" s="1">
        <f t="shared" si="90"/>
        <v>5590594.9100000001</v>
      </c>
      <c r="P374" s="1">
        <v>6592</v>
      </c>
      <c r="Q374" s="1">
        <f t="shared" si="91"/>
        <v>5584002.9100000001</v>
      </c>
      <c r="R374" s="1">
        <f>0.62*U374</f>
        <v>1889722.8</v>
      </c>
      <c r="S374" s="1">
        <f>U374*0.2</f>
        <v>609588</v>
      </c>
      <c r="T374" s="1">
        <f t="shared" si="93"/>
        <v>548629.19999999995</v>
      </c>
      <c r="U374" s="1">
        <v>3047940</v>
      </c>
      <c r="V374" s="1">
        <f t="shared" si="88"/>
        <v>2536062.91</v>
      </c>
      <c r="W374" s="1">
        <v>4.0999999999999996</v>
      </c>
    </row>
    <row r="375" spans="1:23" x14ac:dyDescent="0.25">
      <c r="A375" s="1" t="s">
        <v>222</v>
      </c>
      <c r="B375" s="1" t="s">
        <v>34</v>
      </c>
      <c r="C375" s="1" t="s">
        <v>408</v>
      </c>
      <c r="D375" s="1" t="s">
        <v>74</v>
      </c>
      <c r="E375" s="1" t="s">
        <v>56</v>
      </c>
      <c r="F375" s="1" t="s">
        <v>24</v>
      </c>
      <c r="G375" s="1" t="s">
        <v>44</v>
      </c>
      <c r="H375" s="1" t="s">
        <v>398</v>
      </c>
      <c r="I375" s="1" t="s">
        <v>19</v>
      </c>
      <c r="J375" s="1" t="s">
        <v>26</v>
      </c>
      <c r="K375" s="1">
        <v>131</v>
      </c>
      <c r="L375" s="1">
        <v>31564</v>
      </c>
      <c r="M375" s="2">
        <f t="shared" si="89"/>
        <v>4134884</v>
      </c>
      <c r="N375" s="1">
        <v>744279.12</v>
      </c>
      <c r="O375" s="1">
        <f t="shared" si="90"/>
        <v>4879163.12</v>
      </c>
      <c r="P375" s="1">
        <v>5354</v>
      </c>
      <c r="Q375" s="1">
        <f t="shared" si="91"/>
        <v>4873809.12</v>
      </c>
      <c r="R375" s="1">
        <v>1612872</v>
      </c>
      <c r="S375" s="1">
        <f t="shared" si="92"/>
        <v>645148.80000000005</v>
      </c>
      <c r="T375" s="1">
        <f t="shared" si="93"/>
        <v>967723.20000000019</v>
      </c>
      <c r="U375" s="1">
        <v>3225744</v>
      </c>
      <c r="V375" s="1">
        <f t="shared" si="88"/>
        <v>1648065.12</v>
      </c>
      <c r="W375" s="1">
        <v>3.7</v>
      </c>
    </row>
    <row r="376" spans="1:23" x14ac:dyDescent="0.25">
      <c r="A376" s="1" t="s">
        <v>150</v>
      </c>
      <c r="B376" s="1" t="s">
        <v>34</v>
      </c>
      <c r="C376" s="1" t="s">
        <v>408</v>
      </c>
      <c r="D376" s="1" t="s">
        <v>78</v>
      </c>
      <c r="E376" s="1" t="s">
        <v>49</v>
      </c>
      <c r="F376" s="1" t="s">
        <v>29</v>
      </c>
      <c r="G376" s="1" t="s">
        <v>30</v>
      </c>
      <c r="H376" s="1" t="s">
        <v>398</v>
      </c>
      <c r="I376" s="1" t="s">
        <v>396</v>
      </c>
      <c r="J376" s="1" t="s">
        <v>46</v>
      </c>
      <c r="K376" s="1">
        <v>103</v>
      </c>
      <c r="L376" s="1">
        <v>3966</v>
      </c>
      <c r="M376" s="2">
        <f t="shared" si="89"/>
        <v>408498</v>
      </c>
      <c r="N376" s="1">
        <v>62500.19</v>
      </c>
      <c r="O376" s="1">
        <f t="shared" si="90"/>
        <v>470998.19</v>
      </c>
      <c r="P376" s="1">
        <v>6713</v>
      </c>
      <c r="Q376" s="1">
        <f t="shared" si="91"/>
        <v>464285.19</v>
      </c>
      <c r="R376" s="1">
        <v>218385.75</v>
      </c>
      <c r="S376" s="1">
        <f>U376*0.1</f>
        <v>29118.100000000002</v>
      </c>
      <c r="T376" s="1">
        <f t="shared" si="93"/>
        <v>43677.149999999994</v>
      </c>
      <c r="U376" s="1">
        <v>291181</v>
      </c>
      <c r="V376" s="1">
        <f t="shared" si="88"/>
        <v>173104.19</v>
      </c>
      <c r="W376" s="1">
        <v>4.5</v>
      </c>
    </row>
    <row r="377" spans="1:23" x14ac:dyDescent="0.25">
      <c r="A377" s="1" t="s">
        <v>288</v>
      </c>
      <c r="B377" s="1" t="s">
        <v>58</v>
      </c>
      <c r="C377" s="1" t="s">
        <v>408</v>
      </c>
      <c r="D377" s="1" t="s">
        <v>62</v>
      </c>
      <c r="E377" s="1" t="s">
        <v>43</v>
      </c>
      <c r="F377" s="1" t="s">
        <v>24</v>
      </c>
      <c r="G377" s="1" t="s">
        <v>44</v>
      </c>
      <c r="H377" s="1" t="s">
        <v>398</v>
      </c>
      <c r="I377" s="1" t="s">
        <v>396</v>
      </c>
      <c r="J377" s="1" t="s">
        <v>26</v>
      </c>
      <c r="K377" s="1">
        <v>72</v>
      </c>
      <c r="L377" s="1">
        <v>26249</v>
      </c>
      <c r="M377" s="2">
        <f t="shared" si="89"/>
        <v>1889928</v>
      </c>
      <c r="N377" s="1">
        <v>289158.98</v>
      </c>
      <c r="O377" s="1">
        <f t="shared" si="90"/>
        <v>2179086.98</v>
      </c>
      <c r="P377" s="1">
        <v>5232</v>
      </c>
      <c r="Q377" s="1">
        <f t="shared" si="91"/>
        <v>2173854.98</v>
      </c>
      <c r="R377" s="1">
        <v>1088802</v>
      </c>
      <c r="S377" s="1">
        <f t="shared" si="92"/>
        <v>290347.2</v>
      </c>
      <c r="T377" s="1">
        <f t="shared" si="93"/>
        <v>72586.800000000047</v>
      </c>
      <c r="U377" s="1">
        <v>1451736</v>
      </c>
      <c r="V377" s="1">
        <f t="shared" si="88"/>
        <v>722118.98</v>
      </c>
      <c r="W377" s="1">
        <v>4.0999999999999996</v>
      </c>
    </row>
    <row r="378" spans="1:23" x14ac:dyDescent="0.25">
      <c r="A378" s="1" t="s">
        <v>263</v>
      </c>
      <c r="B378" s="1" t="s">
        <v>69</v>
      </c>
      <c r="C378" s="1" t="s">
        <v>408</v>
      </c>
      <c r="D378" s="1" t="s">
        <v>52</v>
      </c>
      <c r="E378" s="1" t="s">
        <v>23</v>
      </c>
      <c r="F378" s="1" t="s">
        <v>24</v>
      </c>
      <c r="G378" s="1" t="s">
        <v>25</v>
      </c>
      <c r="H378" s="1" t="s">
        <v>399</v>
      </c>
      <c r="I378" s="1" t="s">
        <v>395</v>
      </c>
      <c r="J378" s="1" t="s">
        <v>26</v>
      </c>
      <c r="K378" s="1">
        <v>193</v>
      </c>
      <c r="L378" s="1">
        <v>8453</v>
      </c>
      <c r="M378" s="2">
        <f t="shared" si="89"/>
        <v>1631429</v>
      </c>
      <c r="N378" s="1">
        <v>249608.64</v>
      </c>
      <c r="O378" s="1">
        <f t="shared" si="90"/>
        <v>1881037.6400000001</v>
      </c>
      <c r="P378" s="1">
        <v>9259</v>
      </c>
      <c r="Q378" s="1">
        <f t="shared" si="91"/>
        <v>1871778.6400000001</v>
      </c>
      <c r="R378" s="1">
        <v>259536.75</v>
      </c>
      <c r="S378" s="1">
        <f t="shared" si="92"/>
        <v>207629.40000000002</v>
      </c>
      <c r="T378" s="1">
        <f t="shared" si="93"/>
        <v>570980.85</v>
      </c>
      <c r="U378" s="1">
        <v>1038147</v>
      </c>
      <c r="V378" s="1">
        <f t="shared" si="88"/>
        <v>833631.64000000013</v>
      </c>
      <c r="W378" s="1">
        <v>3.8</v>
      </c>
    </row>
    <row r="379" spans="1:23" x14ac:dyDescent="0.25">
      <c r="A379" s="1" t="s">
        <v>274</v>
      </c>
      <c r="B379" s="1" t="s">
        <v>109</v>
      </c>
      <c r="C379" s="1" t="s">
        <v>408</v>
      </c>
      <c r="D379" s="1" t="s">
        <v>48</v>
      </c>
      <c r="E379" s="1" t="s">
        <v>49</v>
      </c>
      <c r="F379" s="1" t="s">
        <v>24</v>
      </c>
      <c r="G379" s="1" t="s">
        <v>25</v>
      </c>
      <c r="H379" s="1" t="s">
        <v>399</v>
      </c>
      <c r="I379" s="1" t="s">
        <v>396</v>
      </c>
      <c r="J379" s="1" t="s">
        <v>26</v>
      </c>
      <c r="K379" s="1">
        <v>21</v>
      </c>
      <c r="L379" s="1">
        <v>10485</v>
      </c>
      <c r="M379" s="2">
        <f t="shared" si="89"/>
        <v>220185</v>
      </c>
      <c r="N379" s="1">
        <v>37651.64</v>
      </c>
      <c r="O379" s="1">
        <f t="shared" si="90"/>
        <v>257836.64</v>
      </c>
      <c r="P379" s="1">
        <v>8548</v>
      </c>
      <c r="Q379" s="1">
        <f t="shared" si="91"/>
        <v>249288.64</v>
      </c>
      <c r="R379" s="1">
        <v>37506</v>
      </c>
      <c r="S379" s="1">
        <f t="shared" si="92"/>
        <v>30004.800000000003</v>
      </c>
      <c r="T379" s="1">
        <f t="shared" si="93"/>
        <v>82513.2</v>
      </c>
      <c r="U379" s="1">
        <v>150024</v>
      </c>
      <c r="V379" s="1">
        <f t="shared" si="88"/>
        <v>99264.640000000014</v>
      </c>
      <c r="W379" s="1">
        <v>4.9000000000000004</v>
      </c>
    </row>
    <row r="380" spans="1:23" x14ac:dyDescent="0.25">
      <c r="A380" s="1" t="s">
        <v>289</v>
      </c>
      <c r="B380" s="1" t="s">
        <v>58</v>
      </c>
      <c r="C380" s="1" t="s">
        <v>408</v>
      </c>
      <c r="D380" s="1" t="s">
        <v>55</v>
      </c>
      <c r="E380" s="1" t="s">
        <v>56</v>
      </c>
      <c r="F380" s="1" t="s">
        <v>24</v>
      </c>
      <c r="G380" s="1" t="s">
        <v>63</v>
      </c>
      <c r="H380" s="1" t="s">
        <v>399</v>
      </c>
      <c r="I380" s="1" t="s">
        <v>39</v>
      </c>
      <c r="J380" s="1" t="s">
        <v>26</v>
      </c>
      <c r="K380" s="1">
        <v>147</v>
      </c>
      <c r="L380" s="1">
        <v>23082</v>
      </c>
      <c r="M380" s="2">
        <f t="shared" si="89"/>
        <v>3393054</v>
      </c>
      <c r="N380" s="1">
        <v>610749.72</v>
      </c>
      <c r="O380" s="1">
        <f t="shared" si="90"/>
        <v>4003803.7199999997</v>
      </c>
      <c r="P380" s="1">
        <v>9620</v>
      </c>
      <c r="Q380" s="1">
        <f t="shared" si="91"/>
        <v>3994183.7199999997</v>
      </c>
      <c r="R380" s="1">
        <v>1353208.5</v>
      </c>
      <c r="S380" s="1">
        <f t="shared" si="92"/>
        <v>541283.4</v>
      </c>
      <c r="T380" s="1">
        <f t="shared" si="93"/>
        <v>811925.10000000009</v>
      </c>
      <c r="U380" s="1">
        <v>2706417</v>
      </c>
      <c r="V380" s="1">
        <f t="shared" si="88"/>
        <v>1287766.7199999997</v>
      </c>
      <c r="W380" s="1">
        <v>4.9000000000000004</v>
      </c>
    </row>
    <row r="381" spans="1:23" x14ac:dyDescent="0.25">
      <c r="A381" s="1" t="s">
        <v>290</v>
      </c>
      <c r="B381" s="1" t="s">
        <v>58</v>
      </c>
      <c r="C381" s="1" t="s">
        <v>408</v>
      </c>
      <c r="D381" s="1" t="s">
        <v>74</v>
      </c>
      <c r="E381" s="1" t="s">
        <v>56</v>
      </c>
      <c r="F381" s="1" t="s">
        <v>24</v>
      </c>
      <c r="G381" s="1" t="s">
        <v>143</v>
      </c>
      <c r="H381" s="1" t="s">
        <v>399</v>
      </c>
      <c r="I381" s="1" t="s">
        <v>396</v>
      </c>
      <c r="J381" s="1" t="s">
        <v>26</v>
      </c>
      <c r="K381" s="1">
        <v>190</v>
      </c>
      <c r="L381" s="1">
        <v>23245</v>
      </c>
      <c r="M381" s="2">
        <f t="shared" si="89"/>
        <v>4416550</v>
      </c>
      <c r="N381" s="1">
        <v>731380.68</v>
      </c>
      <c r="O381" s="1">
        <f t="shared" si="90"/>
        <v>5147930.68</v>
      </c>
      <c r="P381" s="1">
        <v>5711</v>
      </c>
      <c r="Q381" s="1">
        <f t="shared" si="91"/>
        <v>5142219.68</v>
      </c>
      <c r="R381" s="1">
        <v>2125245</v>
      </c>
      <c r="S381" s="1">
        <f t="shared" si="92"/>
        <v>566732</v>
      </c>
      <c r="T381" s="1">
        <f t="shared" si="93"/>
        <v>141683</v>
      </c>
      <c r="U381" s="1">
        <v>2833660</v>
      </c>
      <c r="V381" s="1">
        <f t="shared" si="88"/>
        <v>2308559.6799999997</v>
      </c>
      <c r="W381" s="1">
        <v>4.5</v>
      </c>
    </row>
    <row r="382" spans="1:23" x14ac:dyDescent="0.25">
      <c r="A382" s="1" t="s">
        <v>248</v>
      </c>
      <c r="B382" s="1" t="s">
        <v>109</v>
      </c>
      <c r="C382" s="1" t="s">
        <v>408</v>
      </c>
      <c r="D382" s="1" t="s">
        <v>52</v>
      </c>
      <c r="E382" s="1" t="s">
        <v>23</v>
      </c>
      <c r="F382" s="1" t="s">
        <v>17</v>
      </c>
      <c r="G382" s="1" t="s">
        <v>35</v>
      </c>
      <c r="H382" s="1" t="s">
        <v>398</v>
      </c>
      <c r="I382" s="1" t="s">
        <v>397</v>
      </c>
      <c r="J382" s="1" t="s">
        <v>26</v>
      </c>
      <c r="K382" s="1">
        <v>182</v>
      </c>
      <c r="L382" s="1">
        <v>34159</v>
      </c>
      <c r="M382" s="2">
        <f t="shared" si="89"/>
        <v>6216938</v>
      </c>
      <c r="N382" s="1">
        <v>1119048.8400000001</v>
      </c>
      <c r="O382" s="1">
        <f t="shared" si="90"/>
        <v>7335986.8399999999</v>
      </c>
      <c r="P382" s="1">
        <v>8663</v>
      </c>
      <c r="Q382" s="1">
        <f t="shared" si="91"/>
        <v>7327323.8399999999</v>
      </c>
      <c r="R382" s="1">
        <f>0.62*U382</f>
        <v>2737498.4</v>
      </c>
      <c r="S382" s="1">
        <f>U382*0.2</f>
        <v>883064</v>
      </c>
      <c r="T382" s="1">
        <f t="shared" si="93"/>
        <v>794757.60000000009</v>
      </c>
      <c r="U382" s="1">
        <v>4415320</v>
      </c>
      <c r="V382" s="1">
        <f t="shared" si="88"/>
        <v>2912003.84</v>
      </c>
      <c r="W382" s="1">
        <v>3.9</v>
      </c>
    </row>
    <row r="383" spans="1:23" x14ac:dyDescent="0.25">
      <c r="A383" s="1" t="s">
        <v>291</v>
      </c>
      <c r="B383" s="1" t="s">
        <v>14</v>
      </c>
      <c r="C383" s="1" t="s">
        <v>408</v>
      </c>
      <c r="D383" s="1" t="s">
        <v>74</v>
      </c>
      <c r="E383" s="1" t="s">
        <v>56</v>
      </c>
      <c r="F383" s="1" t="s">
        <v>59</v>
      </c>
      <c r="G383" s="1" t="s">
        <v>103</v>
      </c>
      <c r="H383" s="1" t="s">
        <v>399</v>
      </c>
      <c r="I383" s="1" t="s">
        <v>19</v>
      </c>
      <c r="J383" s="1" t="s">
        <v>26</v>
      </c>
      <c r="K383" s="1">
        <v>148</v>
      </c>
      <c r="L383" s="1">
        <v>29417</v>
      </c>
      <c r="M383" s="2">
        <f t="shared" si="89"/>
        <v>4353716</v>
      </c>
      <c r="N383" s="1">
        <v>744485.44</v>
      </c>
      <c r="O383" s="1">
        <f t="shared" si="90"/>
        <v>5098201.4399999995</v>
      </c>
      <c r="P383" s="1">
        <v>7874</v>
      </c>
      <c r="Q383" s="1">
        <f t="shared" si="91"/>
        <v>5090327.4399999995</v>
      </c>
      <c r="R383" s="1">
        <f t="shared" ref="R383:R384" si="101">0.7*U383</f>
        <v>2449104</v>
      </c>
      <c r="S383" s="1">
        <f t="shared" si="92"/>
        <v>699744</v>
      </c>
      <c r="T383" s="1">
        <f t="shared" si="93"/>
        <v>349872</v>
      </c>
      <c r="U383" s="1">
        <v>3498720</v>
      </c>
      <c r="V383" s="1">
        <f t="shared" si="88"/>
        <v>1591607.4399999995</v>
      </c>
      <c r="W383" s="1">
        <v>3.5</v>
      </c>
    </row>
    <row r="384" spans="1:23" x14ac:dyDescent="0.25">
      <c r="A384" s="1" t="s">
        <v>27</v>
      </c>
      <c r="B384" s="1" t="s">
        <v>21</v>
      </c>
      <c r="C384" s="1" t="s">
        <v>408</v>
      </c>
      <c r="D384" s="1" t="s">
        <v>15</v>
      </c>
      <c r="E384" s="1" t="s">
        <v>16</v>
      </c>
      <c r="F384" s="1" t="s">
        <v>59</v>
      </c>
      <c r="G384" s="1" t="s">
        <v>121</v>
      </c>
      <c r="H384" s="1" t="s">
        <v>398</v>
      </c>
      <c r="I384" s="1" t="s">
        <v>395</v>
      </c>
      <c r="J384" s="1" t="s">
        <v>46</v>
      </c>
      <c r="K384" s="1">
        <v>31</v>
      </c>
      <c r="L384" s="1">
        <v>31947</v>
      </c>
      <c r="M384" s="2">
        <f t="shared" si="89"/>
        <v>990357</v>
      </c>
      <c r="N384" s="1">
        <v>151524.62</v>
      </c>
      <c r="O384" s="1">
        <f t="shared" si="90"/>
        <v>1141881.6200000001</v>
      </c>
      <c r="P384" s="1">
        <v>9131</v>
      </c>
      <c r="Q384" s="1">
        <f t="shared" si="91"/>
        <v>1132750.6200000001</v>
      </c>
      <c r="R384" s="1">
        <f t="shared" si="101"/>
        <v>449775.89999999997</v>
      </c>
      <c r="S384" s="1">
        <f t="shared" si="92"/>
        <v>128507.40000000001</v>
      </c>
      <c r="T384" s="1">
        <f t="shared" si="93"/>
        <v>64253.700000000012</v>
      </c>
      <c r="U384" s="1">
        <v>642537</v>
      </c>
      <c r="V384" s="1">
        <f t="shared" si="88"/>
        <v>490213.62000000011</v>
      </c>
      <c r="W384" s="1">
        <v>4</v>
      </c>
    </row>
    <row r="385" spans="1:23" x14ac:dyDescent="0.25">
      <c r="A385" s="1" t="s">
        <v>292</v>
      </c>
      <c r="B385" s="1" t="s">
        <v>37</v>
      </c>
      <c r="C385" s="1" t="s">
        <v>408</v>
      </c>
      <c r="D385" s="1" t="s">
        <v>15</v>
      </c>
      <c r="E385" s="1" t="s">
        <v>16</v>
      </c>
      <c r="F385" s="1" t="s">
        <v>29</v>
      </c>
      <c r="G385" s="1" t="s">
        <v>97</v>
      </c>
      <c r="H385" s="1" t="s">
        <v>398</v>
      </c>
      <c r="I385" s="1" t="s">
        <v>395</v>
      </c>
      <c r="J385" s="1" t="s">
        <v>26</v>
      </c>
      <c r="K385" s="1">
        <v>135</v>
      </c>
      <c r="L385" s="1">
        <v>33446</v>
      </c>
      <c r="M385" s="2">
        <f t="shared" si="89"/>
        <v>4515210</v>
      </c>
      <c r="N385" s="1">
        <v>747718.78</v>
      </c>
      <c r="O385" s="1">
        <f t="shared" si="90"/>
        <v>5262928.78</v>
      </c>
      <c r="P385" s="1">
        <v>5792</v>
      </c>
      <c r="Q385" s="1">
        <f t="shared" si="91"/>
        <v>5257136.78</v>
      </c>
      <c r="R385" s="1">
        <v>719448.75</v>
      </c>
      <c r="S385" s="1">
        <f t="shared" ref="S385:S386" si="102">U385*0.1</f>
        <v>287779.5</v>
      </c>
      <c r="T385" s="1">
        <f t="shared" si="93"/>
        <v>1870566.75</v>
      </c>
      <c r="U385" s="1">
        <v>2877795</v>
      </c>
      <c r="V385" s="1">
        <f t="shared" si="88"/>
        <v>2379341.7800000003</v>
      </c>
      <c r="W385" s="1">
        <v>4.7</v>
      </c>
    </row>
    <row r="386" spans="1:23" x14ac:dyDescent="0.25">
      <c r="A386" s="1" t="s">
        <v>293</v>
      </c>
      <c r="B386" s="1" t="s">
        <v>109</v>
      </c>
      <c r="C386" s="1" t="s">
        <v>408</v>
      </c>
      <c r="D386" s="1" t="s">
        <v>15</v>
      </c>
      <c r="E386" s="1" t="s">
        <v>16</v>
      </c>
      <c r="F386" s="1" t="s">
        <v>29</v>
      </c>
      <c r="G386" s="1" t="s">
        <v>53</v>
      </c>
      <c r="H386" s="1" t="s">
        <v>398</v>
      </c>
      <c r="I386" s="1" t="s">
        <v>39</v>
      </c>
      <c r="J386" s="1" t="s">
        <v>46</v>
      </c>
      <c r="K386" s="1">
        <v>52</v>
      </c>
      <c r="L386" s="1">
        <v>18114</v>
      </c>
      <c r="M386" s="2">
        <f t="shared" si="89"/>
        <v>941928</v>
      </c>
      <c r="N386" s="1">
        <v>155983.28</v>
      </c>
      <c r="O386" s="1">
        <f t="shared" si="90"/>
        <v>1097911.28</v>
      </c>
      <c r="P386" s="1">
        <v>9337</v>
      </c>
      <c r="Q386" s="1">
        <f t="shared" si="91"/>
        <v>1088574.28</v>
      </c>
      <c r="R386" s="1">
        <v>556062</v>
      </c>
      <c r="S386" s="1">
        <f t="shared" si="102"/>
        <v>74141.600000000006</v>
      </c>
      <c r="T386" s="1">
        <f t="shared" si="93"/>
        <v>111212.40000000002</v>
      </c>
      <c r="U386" s="1">
        <v>741416</v>
      </c>
      <c r="V386" s="1">
        <f t="shared" si="88"/>
        <v>347158.28</v>
      </c>
      <c r="W386" s="1">
        <v>3.7</v>
      </c>
    </row>
    <row r="387" spans="1:23" x14ac:dyDescent="0.25">
      <c r="A387" s="1" t="s">
        <v>45</v>
      </c>
      <c r="B387" s="1" t="s">
        <v>41</v>
      </c>
      <c r="C387" s="1" t="s">
        <v>408</v>
      </c>
      <c r="D387" s="1" t="s">
        <v>74</v>
      </c>
      <c r="E387" s="1" t="s">
        <v>56</v>
      </c>
      <c r="F387" s="1" t="s">
        <v>17</v>
      </c>
      <c r="G387" s="1" t="s">
        <v>35</v>
      </c>
      <c r="H387" s="1" t="s">
        <v>399</v>
      </c>
      <c r="I387" s="1" t="s">
        <v>397</v>
      </c>
      <c r="J387" s="1" t="s">
        <v>46</v>
      </c>
      <c r="K387" s="1">
        <v>77</v>
      </c>
      <c r="L387" s="1">
        <v>19254</v>
      </c>
      <c r="M387" s="2">
        <f t="shared" si="89"/>
        <v>1482558</v>
      </c>
      <c r="N387" s="1">
        <v>226831.37</v>
      </c>
      <c r="O387" s="1">
        <f t="shared" si="90"/>
        <v>1709389.37</v>
      </c>
      <c r="P387" s="1">
        <v>6990</v>
      </c>
      <c r="Q387" s="1">
        <f t="shared" si="91"/>
        <v>1702399.37</v>
      </c>
      <c r="R387" s="1">
        <f>0.62*U387</f>
        <v>632077.6</v>
      </c>
      <c r="S387" s="1">
        <f>U387*0.2</f>
        <v>203896</v>
      </c>
      <c r="T387" s="1">
        <f t="shared" si="93"/>
        <v>183506.40000000002</v>
      </c>
      <c r="U387" s="1">
        <v>1019480</v>
      </c>
      <c r="V387" s="1">
        <f t="shared" si="88"/>
        <v>682919.37000000011</v>
      </c>
      <c r="W387" s="1">
        <v>4.2</v>
      </c>
    </row>
    <row r="388" spans="1:23" x14ac:dyDescent="0.25">
      <c r="A388" s="1" t="s">
        <v>294</v>
      </c>
      <c r="B388" s="1" t="s">
        <v>41</v>
      </c>
      <c r="C388" s="1" t="s">
        <v>408</v>
      </c>
      <c r="D388" s="1" t="s">
        <v>15</v>
      </c>
      <c r="E388" s="1" t="s">
        <v>16</v>
      </c>
      <c r="F388" s="1" t="s">
        <v>29</v>
      </c>
      <c r="G388" s="1" t="s">
        <v>87</v>
      </c>
      <c r="H388" s="1" t="s">
        <v>399</v>
      </c>
      <c r="I388" s="1" t="s">
        <v>19</v>
      </c>
      <c r="J388" s="1" t="s">
        <v>26</v>
      </c>
      <c r="K388" s="1">
        <v>79</v>
      </c>
      <c r="L388" s="1">
        <v>26048</v>
      </c>
      <c r="M388" s="2">
        <f t="shared" si="89"/>
        <v>2057792</v>
      </c>
      <c r="N388" s="1">
        <v>340770.36</v>
      </c>
      <c r="O388" s="1">
        <f t="shared" si="90"/>
        <v>2398562.36</v>
      </c>
      <c r="P388" s="1">
        <v>7658</v>
      </c>
      <c r="Q388" s="1">
        <f t="shared" si="91"/>
        <v>2390904.36</v>
      </c>
      <c r="R388" s="1">
        <v>401557</v>
      </c>
      <c r="S388" s="1">
        <f>U388*0.1</f>
        <v>160622.80000000002</v>
      </c>
      <c r="T388" s="1">
        <f t="shared" si="93"/>
        <v>1044048.2</v>
      </c>
      <c r="U388" s="1">
        <v>1606228</v>
      </c>
      <c r="V388" s="1">
        <f t="shared" ref="V388:V451" si="103">Q388-U388</f>
        <v>784676.35999999987</v>
      </c>
      <c r="W388" s="1">
        <v>4.9000000000000004</v>
      </c>
    </row>
    <row r="389" spans="1:23" x14ac:dyDescent="0.25">
      <c r="A389" s="1" t="s">
        <v>207</v>
      </c>
      <c r="B389" s="1" t="s">
        <v>34</v>
      </c>
      <c r="C389" s="1" t="s">
        <v>408</v>
      </c>
      <c r="D389" s="1" t="s">
        <v>52</v>
      </c>
      <c r="E389" s="1" t="s">
        <v>23</v>
      </c>
      <c r="F389" s="1" t="s">
        <v>24</v>
      </c>
      <c r="G389" s="1" t="s">
        <v>44</v>
      </c>
      <c r="H389" s="1" t="s">
        <v>399</v>
      </c>
      <c r="I389" s="1" t="s">
        <v>396</v>
      </c>
      <c r="J389" s="1" t="s">
        <v>26</v>
      </c>
      <c r="K389" s="1">
        <v>183</v>
      </c>
      <c r="L389" s="1">
        <v>19663</v>
      </c>
      <c r="M389" s="2">
        <f t="shared" ref="M389:M452" si="104">K389*L389</f>
        <v>3598329</v>
      </c>
      <c r="N389" s="1">
        <v>569975.31000000006</v>
      </c>
      <c r="O389" s="1">
        <f t="shared" ref="O389:O452" si="105">M389+N389</f>
        <v>4168304.31</v>
      </c>
      <c r="P389" s="1">
        <v>6660</v>
      </c>
      <c r="Q389" s="1">
        <f t="shared" ref="Q389:Q452" si="106">O389-P389</f>
        <v>4161644.31</v>
      </c>
      <c r="R389" s="1">
        <v>589626</v>
      </c>
      <c r="S389" s="1">
        <f t="shared" ref="S389:S452" si="107">U389*0.2</f>
        <v>471700.80000000005</v>
      </c>
      <c r="T389" s="1">
        <f t="shared" ref="T389:T452" si="108">U389-S389-R389</f>
        <v>1297177.2</v>
      </c>
      <c r="U389" s="1">
        <v>2358504</v>
      </c>
      <c r="V389" s="1">
        <f t="shared" si="103"/>
        <v>1803140.31</v>
      </c>
      <c r="W389" s="1">
        <v>4.4000000000000004</v>
      </c>
    </row>
    <row r="390" spans="1:23" x14ac:dyDescent="0.25">
      <c r="A390" s="1" t="s">
        <v>188</v>
      </c>
      <c r="B390" s="1" t="s">
        <v>21</v>
      </c>
      <c r="C390" s="1" t="s">
        <v>408</v>
      </c>
      <c r="D390" s="1" t="s">
        <v>22</v>
      </c>
      <c r="E390" s="1" t="s">
        <v>23</v>
      </c>
      <c r="F390" s="1" t="s">
        <v>29</v>
      </c>
      <c r="G390" s="1" t="s">
        <v>91</v>
      </c>
      <c r="H390" s="1" t="s">
        <v>399</v>
      </c>
      <c r="I390" s="1" t="s">
        <v>39</v>
      </c>
      <c r="J390" s="1" t="s">
        <v>26</v>
      </c>
      <c r="K390" s="1">
        <v>90</v>
      </c>
      <c r="L390" s="1">
        <v>30841</v>
      </c>
      <c r="M390" s="2">
        <f t="shared" si="104"/>
        <v>2775690</v>
      </c>
      <c r="N390" s="1">
        <v>499624.2</v>
      </c>
      <c r="O390" s="1">
        <f t="shared" si="105"/>
        <v>3275314.2</v>
      </c>
      <c r="P390" s="1">
        <v>5749</v>
      </c>
      <c r="Q390" s="1">
        <f t="shared" si="106"/>
        <v>3269565.2</v>
      </c>
      <c r="R390" s="1">
        <v>1118250</v>
      </c>
      <c r="S390" s="1">
        <f>U390*0.1</f>
        <v>223650</v>
      </c>
      <c r="T390" s="1">
        <f t="shared" si="108"/>
        <v>894600</v>
      </c>
      <c r="U390" s="1">
        <v>2236500</v>
      </c>
      <c r="V390" s="1">
        <f t="shared" si="103"/>
        <v>1033065.2000000002</v>
      </c>
      <c r="W390" s="1">
        <v>3.8</v>
      </c>
    </row>
    <row r="391" spans="1:23" x14ac:dyDescent="0.25">
      <c r="A391" s="1" t="s">
        <v>276</v>
      </c>
      <c r="B391" s="1" t="s">
        <v>32</v>
      </c>
      <c r="C391" s="1" t="s">
        <v>408</v>
      </c>
      <c r="D391" s="1" t="s">
        <v>15</v>
      </c>
      <c r="E391" s="1" t="s">
        <v>16</v>
      </c>
      <c r="F391" s="1" t="s">
        <v>24</v>
      </c>
      <c r="G391" s="1" t="s">
        <v>119</v>
      </c>
      <c r="H391" s="1" t="s">
        <v>399</v>
      </c>
      <c r="I391" s="1" t="s">
        <v>396</v>
      </c>
      <c r="J391" s="1" t="s">
        <v>46</v>
      </c>
      <c r="K391" s="1">
        <v>199</v>
      </c>
      <c r="L391" s="1">
        <v>3091</v>
      </c>
      <c r="M391" s="2">
        <f t="shared" si="104"/>
        <v>615109</v>
      </c>
      <c r="N391" s="1">
        <v>94111.679999999993</v>
      </c>
      <c r="O391" s="1">
        <f t="shared" si="105"/>
        <v>709220.67999999993</v>
      </c>
      <c r="P391" s="1">
        <v>9480</v>
      </c>
      <c r="Q391" s="1">
        <f t="shared" si="106"/>
        <v>699740.67999999993</v>
      </c>
      <c r="R391" s="1">
        <v>202980</v>
      </c>
      <c r="S391" s="1">
        <f t="shared" si="107"/>
        <v>81192</v>
      </c>
      <c r="T391" s="1">
        <f t="shared" si="108"/>
        <v>121788</v>
      </c>
      <c r="U391" s="1">
        <v>405960</v>
      </c>
      <c r="V391" s="1">
        <f t="shared" si="103"/>
        <v>293780.67999999993</v>
      </c>
      <c r="W391" s="1">
        <v>3.7</v>
      </c>
    </row>
    <row r="392" spans="1:23" x14ac:dyDescent="0.25">
      <c r="A392" s="1" t="s">
        <v>295</v>
      </c>
      <c r="B392" s="1" t="s">
        <v>69</v>
      </c>
      <c r="C392" s="1" t="s">
        <v>408</v>
      </c>
      <c r="D392" s="1" t="s">
        <v>78</v>
      </c>
      <c r="E392" s="1" t="s">
        <v>49</v>
      </c>
      <c r="F392" s="1" t="s">
        <v>17</v>
      </c>
      <c r="G392" s="1" t="s">
        <v>72</v>
      </c>
      <c r="H392" s="1" t="s">
        <v>398</v>
      </c>
      <c r="I392" s="1" t="s">
        <v>39</v>
      </c>
      <c r="J392" s="1" t="s">
        <v>26</v>
      </c>
      <c r="K392" s="1">
        <v>93</v>
      </c>
      <c r="L392" s="1">
        <v>18515</v>
      </c>
      <c r="M392" s="2">
        <f t="shared" si="104"/>
        <v>1721895</v>
      </c>
      <c r="N392" s="1">
        <v>294444.03999999998</v>
      </c>
      <c r="O392" s="1">
        <f t="shared" si="105"/>
        <v>2016339.04</v>
      </c>
      <c r="P392" s="1">
        <v>8023</v>
      </c>
      <c r="Q392" s="1">
        <f t="shared" si="106"/>
        <v>2008316.04</v>
      </c>
      <c r="R392" s="1">
        <f>0.62*U392</f>
        <v>773278.26</v>
      </c>
      <c r="S392" s="1">
        <f>U392*0.2</f>
        <v>249444.6</v>
      </c>
      <c r="T392" s="1">
        <f t="shared" si="108"/>
        <v>224500.14</v>
      </c>
      <c r="U392" s="1">
        <v>1247223</v>
      </c>
      <c r="V392" s="1">
        <f t="shared" si="103"/>
        <v>761093.04</v>
      </c>
      <c r="W392" s="1">
        <v>4.8</v>
      </c>
    </row>
    <row r="393" spans="1:23" x14ac:dyDescent="0.25">
      <c r="A393" s="1" t="s">
        <v>220</v>
      </c>
      <c r="B393" s="1" t="s">
        <v>41</v>
      </c>
      <c r="C393" s="1" t="s">
        <v>408</v>
      </c>
      <c r="D393" s="1" t="s">
        <v>48</v>
      </c>
      <c r="E393" s="1" t="s">
        <v>49</v>
      </c>
      <c r="F393" s="1" t="s">
        <v>24</v>
      </c>
      <c r="G393" s="1" t="s">
        <v>25</v>
      </c>
      <c r="H393" s="1" t="s">
        <v>398</v>
      </c>
      <c r="I393" s="1" t="s">
        <v>39</v>
      </c>
      <c r="J393" s="1" t="s">
        <v>26</v>
      </c>
      <c r="K393" s="1">
        <v>103</v>
      </c>
      <c r="L393" s="1">
        <v>32322</v>
      </c>
      <c r="M393" s="2">
        <f t="shared" si="104"/>
        <v>3329166</v>
      </c>
      <c r="N393" s="1">
        <v>599249.88</v>
      </c>
      <c r="O393" s="1">
        <f t="shared" si="105"/>
        <v>3928415.88</v>
      </c>
      <c r="P393" s="1">
        <v>9407</v>
      </c>
      <c r="Q393" s="1">
        <f t="shared" si="106"/>
        <v>3919008.88</v>
      </c>
      <c r="R393" s="1">
        <v>577495.25</v>
      </c>
      <c r="S393" s="1">
        <f t="shared" si="107"/>
        <v>461996.2</v>
      </c>
      <c r="T393" s="1">
        <f t="shared" si="108"/>
        <v>1270489.55</v>
      </c>
      <c r="U393" s="1">
        <v>2309981</v>
      </c>
      <c r="V393" s="1">
        <f t="shared" si="103"/>
        <v>1609027.88</v>
      </c>
      <c r="W393" s="1">
        <v>4.5999999999999996</v>
      </c>
    </row>
    <row r="394" spans="1:23" x14ac:dyDescent="0.25">
      <c r="A394" s="1" t="s">
        <v>190</v>
      </c>
      <c r="B394" s="1" t="s">
        <v>37</v>
      </c>
      <c r="C394" s="1" t="s">
        <v>408</v>
      </c>
      <c r="D394" s="1" t="s">
        <v>48</v>
      </c>
      <c r="E394" s="1" t="s">
        <v>49</v>
      </c>
      <c r="F394" s="1" t="s">
        <v>24</v>
      </c>
      <c r="G394" s="1" t="s">
        <v>119</v>
      </c>
      <c r="H394" s="1" t="s">
        <v>398</v>
      </c>
      <c r="I394" s="1" t="s">
        <v>395</v>
      </c>
      <c r="J394" s="1" t="s">
        <v>26</v>
      </c>
      <c r="K394" s="1">
        <v>118</v>
      </c>
      <c r="L394" s="1">
        <v>36886</v>
      </c>
      <c r="M394" s="2">
        <f t="shared" si="104"/>
        <v>4352548</v>
      </c>
      <c r="N394" s="1">
        <v>665939.84</v>
      </c>
      <c r="O394" s="1">
        <f t="shared" si="105"/>
        <v>5018487.84</v>
      </c>
      <c r="P394" s="1">
        <v>6074</v>
      </c>
      <c r="Q394" s="1">
        <f t="shared" si="106"/>
        <v>5012413.84</v>
      </c>
      <c r="R394" s="1">
        <v>2062050</v>
      </c>
      <c r="S394" s="1">
        <f t="shared" si="107"/>
        <v>549880</v>
      </c>
      <c r="T394" s="1">
        <f t="shared" si="108"/>
        <v>137470</v>
      </c>
      <c r="U394" s="1">
        <v>2749400</v>
      </c>
      <c r="V394" s="1">
        <f t="shared" si="103"/>
        <v>2263013.84</v>
      </c>
      <c r="W394" s="1">
        <v>4.4000000000000004</v>
      </c>
    </row>
    <row r="395" spans="1:23" x14ac:dyDescent="0.25">
      <c r="A395" s="1" t="s">
        <v>258</v>
      </c>
      <c r="B395" s="1" t="s">
        <v>34</v>
      </c>
      <c r="C395" s="1" t="s">
        <v>408</v>
      </c>
      <c r="D395" s="1" t="s">
        <v>52</v>
      </c>
      <c r="E395" s="1" t="s">
        <v>23</v>
      </c>
      <c r="F395" s="1" t="s">
        <v>29</v>
      </c>
      <c r="G395" s="1" t="s">
        <v>91</v>
      </c>
      <c r="H395" s="1" t="s">
        <v>398</v>
      </c>
      <c r="I395" s="1" t="s">
        <v>396</v>
      </c>
      <c r="J395" s="1" t="s">
        <v>26</v>
      </c>
      <c r="K395" s="1">
        <v>186</v>
      </c>
      <c r="L395" s="1">
        <v>17246</v>
      </c>
      <c r="M395" s="2">
        <f t="shared" si="104"/>
        <v>3207756</v>
      </c>
      <c r="N395" s="1">
        <v>490786.67</v>
      </c>
      <c r="O395" s="1">
        <f t="shared" si="105"/>
        <v>3698542.67</v>
      </c>
      <c r="P395" s="1">
        <v>6656</v>
      </c>
      <c r="Q395" s="1">
        <f t="shared" si="106"/>
        <v>3691886.67</v>
      </c>
      <c r="R395" s="1">
        <v>1520131.5</v>
      </c>
      <c r="S395" s="1">
        <f>U395*0.1</f>
        <v>202684.2</v>
      </c>
      <c r="T395" s="1">
        <f t="shared" si="108"/>
        <v>304026.30000000005</v>
      </c>
      <c r="U395" s="1">
        <v>2026842</v>
      </c>
      <c r="V395" s="1">
        <f t="shared" si="103"/>
        <v>1665044.67</v>
      </c>
      <c r="W395" s="1">
        <v>3.8</v>
      </c>
    </row>
    <row r="396" spans="1:23" x14ac:dyDescent="0.25">
      <c r="A396" s="1" t="s">
        <v>236</v>
      </c>
      <c r="B396" s="1" t="s">
        <v>69</v>
      </c>
      <c r="C396" s="1" t="s">
        <v>408</v>
      </c>
      <c r="D396" s="1" t="s">
        <v>78</v>
      </c>
      <c r="E396" s="1" t="s">
        <v>49</v>
      </c>
      <c r="F396" s="1" t="s">
        <v>59</v>
      </c>
      <c r="G396" s="1" t="s">
        <v>85</v>
      </c>
      <c r="H396" s="1" t="s">
        <v>398</v>
      </c>
      <c r="I396" s="1" t="s">
        <v>396</v>
      </c>
      <c r="J396" s="1" t="s">
        <v>46</v>
      </c>
      <c r="K396" s="1">
        <v>79</v>
      </c>
      <c r="L396" s="1">
        <v>7633</v>
      </c>
      <c r="M396" s="2">
        <f t="shared" si="104"/>
        <v>603007</v>
      </c>
      <c r="N396" s="1">
        <v>92260.07</v>
      </c>
      <c r="O396" s="1">
        <f t="shared" si="105"/>
        <v>695267.07000000007</v>
      </c>
      <c r="P396" s="1">
        <v>7884</v>
      </c>
      <c r="Q396" s="1">
        <f t="shared" si="106"/>
        <v>687383.07000000007</v>
      </c>
      <c r="R396" s="1">
        <f>0.7*U396</f>
        <v>350712.6</v>
      </c>
      <c r="S396" s="1">
        <f t="shared" si="107"/>
        <v>100203.6</v>
      </c>
      <c r="T396" s="1">
        <f t="shared" si="108"/>
        <v>50101.800000000047</v>
      </c>
      <c r="U396" s="1">
        <v>501018</v>
      </c>
      <c r="V396" s="1">
        <f t="shared" si="103"/>
        <v>186365.07000000007</v>
      </c>
      <c r="W396" s="1">
        <v>4.5</v>
      </c>
    </row>
    <row r="397" spans="1:23" x14ac:dyDescent="0.25">
      <c r="A397" s="1" t="s">
        <v>281</v>
      </c>
      <c r="B397" s="1" t="s">
        <v>34</v>
      </c>
      <c r="C397" s="1" t="s">
        <v>408</v>
      </c>
      <c r="D397" s="1" t="s">
        <v>22</v>
      </c>
      <c r="E397" s="1" t="s">
        <v>23</v>
      </c>
      <c r="F397" s="1" t="s">
        <v>29</v>
      </c>
      <c r="G397" s="1" t="s">
        <v>87</v>
      </c>
      <c r="H397" s="1" t="s">
        <v>398</v>
      </c>
      <c r="I397" s="1" t="s">
        <v>39</v>
      </c>
      <c r="J397" s="1" t="s">
        <v>26</v>
      </c>
      <c r="K397" s="1">
        <v>28</v>
      </c>
      <c r="L397" s="1">
        <v>26645</v>
      </c>
      <c r="M397" s="2">
        <f t="shared" si="104"/>
        <v>746060</v>
      </c>
      <c r="N397" s="1">
        <v>123547.54</v>
      </c>
      <c r="O397" s="1">
        <f t="shared" si="105"/>
        <v>869607.54</v>
      </c>
      <c r="P397" s="1">
        <v>9674</v>
      </c>
      <c r="Q397" s="1">
        <f t="shared" si="106"/>
        <v>859933.54</v>
      </c>
      <c r="R397" s="1">
        <v>273266</v>
      </c>
      <c r="S397" s="1">
        <f>U397*0.1</f>
        <v>54653.200000000004</v>
      </c>
      <c r="T397" s="1">
        <f t="shared" si="108"/>
        <v>218612.8</v>
      </c>
      <c r="U397" s="1">
        <v>546532</v>
      </c>
      <c r="V397" s="1">
        <f t="shared" si="103"/>
        <v>313401.54000000004</v>
      </c>
      <c r="W397" s="1">
        <v>4.7</v>
      </c>
    </row>
    <row r="398" spans="1:23" x14ac:dyDescent="0.25">
      <c r="A398" s="1" t="s">
        <v>73</v>
      </c>
      <c r="B398" s="1" t="s">
        <v>41</v>
      </c>
      <c r="C398" s="1" t="s">
        <v>408</v>
      </c>
      <c r="D398" s="1" t="s">
        <v>22</v>
      </c>
      <c r="E398" s="1" t="s">
        <v>23</v>
      </c>
      <c r="F398" s="1" t="s">
        <v>59</v>
      </c>
      <c r="G398" s="1" t="s">
        <v>67</v>
      </c>
      <c r="H398" s="1" t="s">
        <v>399</v>
      </c>
      <c r="I398" s="1" t="s">
        <v>395</v>
      </c>
      <c r="J398" s="1" t="s">
        <v>26</v>
      </c>
      <c r="K398" s="1">
        <v>152</v>
      </c>
      <c r="L398" s="1">
        <v>7155</v>
      </c>
      <c r="M398" s="2">
        <f t="shared" si="104"/>
        <v>1087560</v>
      </c>
      <c r="N398" s="1">
        <v>166396.68</v>
      </c>
      <c r="O398" s="1">
        <f t="shared" si="105"/>
        <v>1253956.68</v>
      </c>
      <c r="P398" s="1">
        <v>6140</v>
      </c>
      <c r="Q398" s="1">
        <f t="shared" si="106"/>
        <v>1247816.68</v>
      </c>
      <c r="R398" s="1">
        <f>0.7*U398</f>
        <v>502633.6</v>
      </c>
      <c r="S398" s="1">
        <f t="shared" si="107"/>
        <v>143609.60000000001</v>
      </c>
      <c r="T398" s="1">
        <f t="shared" si="108"/>
        <v>71804.800000000047</v>
      </c>
      <c r="U398" s="1">
        <v>718048</v>
      </c>
      <c r="V398" s="1">
        <f t="shared" si="103"/>
        <v>529768.67999999993</v>
      </c>
      <c r="W398" s="1">
        <v>3.6</v>
      </c>
    </row>
    <row r="399" spans="1:23" x14ac:dyDescent="0.25">
      <c r="A399" s="1" t="s">
        <v>296</v>
      </c>
      <c r="B399" s="1" t="s">
        <v>51</v>
      </c>
      <c r="C399" s="1" t="s">
        <v>408</v>
      </c>
      <c r="D399" s="1" t="s">
        <v>22</v>
      </c>
      <c r="E399" s="1" t="s">
        <v>23</v>
      </c>
      <c r="F399" s="1" t="s">
        <v>24</v>
      </c>
      <c r="G399" s="1" t="s">
        <v>119</v>
      </c>
      <c r="H399" s="1" t="s">
        <v>399</v>
      </c>
      <c r="I399" s="1" t="s">
        <v>19</v>
      </c>
      <c r="J399" s="1" t="s">
        <v>26</v>
      </c>
      <c r="K399" s="1">
        <v>150</v>
      </c>
      <c r="L399" s="1">
        <v>27189</v>
      </c>
      <c r="M399" s="2">
        <f t="shared" si="104"/>
        <v>4078350</v>
      </c>
      <c r="N399" s="1">
        <v>734103</v>
      </c>
      <c r="O399" s="1">
        <f t="shared" si="105"/>
        <v>4812453</v>
      </c>
      <c r="P399" s="1">
        <v>6249</v>
      </c>
      <c r="Q399" s="1">
        <f t="shared" si="106"/>
        <v>4806204</v>
      </c>
      <c r="R399" s="1">
        <v>2450812.5</v>
      </c>
      <c r="S399" s="1">
        <f t="shared" si="107"/>
        <v>653550</v>
      </c>
      <c r="T399" s="1">
        <f t="shared" si="108"/>
        <v>163387.5</v>
      </c>
      <c r="U399" s="1">
        <v>3267750</v>
      </c>
      <c r="V399" s="1">
        <f t="shared" si="103"/>
        <v>1538454</v>
      </c>
      <c r="W399" s="1">
        <v>5</v>
      </c>
    </row>
    <row r="400" spans="1:23" x14ac:dyDescent="0.25">
      <c r="A400" s="1" t="s">
        <v>240</v>
      </c>
      <c r="B400" s="1" t="s">
        <v>28</v>
      </c>
      <c r="C400" s="1" t="s">
        <v>408</v>
      </c>
      <c r="D400" s="1" t="s">
        <v>62</v>
      </c>
      <c r="E400" s="1" t="s">
        <v>43</v>
      </c>
      <c r="F400" s="1" t="s">
        <v>29</v>
      </c>
      <c r="G400" s="1" t="s">
        <v>30</v>
      </c>
      <c r="H400" s="1" t="s">
        <v>399</v>
      </c>
      <c r="I400" s="1" t="s">
        <v>396</v>
      </c>
      <c r="J400" s="1" t="s">
        <v>26</v>
      </c>
      <c r="K400" s="1">
        <v>18</v>
      </c>
      <c r="L400" s="1">
        <v>18826</v>
      </c>
      <c r="M400" s="2">
        <f t="shared" si="104"/>
        <v>338868</v>
      </c>
      <c r="N400" s="1">
        <v>56116.54</v>
      </c>
      <c r="O400" s="1">
        <f t="shared" si="105"/>
        <v>394984.54</v>
      </c>
      <c r="P400" s="1">
        <v>5340</v>
      </c>
      <c r="Q400" s="1">
        <f t="shared" si="106"/>
        <v>389644.54</v>
      </c>
      <c r="R400" s="1">
        <v>201717</v>
      </c>
      <c r="S400" s="1">
        <f t="shared" ref="S400:S401" si="109">U400*0.1</f>
        <v>26895.600000000002</v>
      </c>
      <c r="T400" s="1">
        <f t="shared" si="108"/>
        <v>40343.399999999994</v>
      </c>
      <c r="U400" s="1">
        <v>268956</v>
      </c>
      <c r="V400" s="1">
        <f t="shared" si="103"/>
        <v>120688.53999999998</v>
      </c>
      <c r="W400" s="1">
        <v>4.5999999999999996</v>
      </c>
    </row>
    <row r="401" spans="1:23" x14ac:dyDescent="0.25">
      <c r="A401" s="1" t="s">
        <v>125</v>
      </c>
      <c r="B401" s="1" t="s">
        <v>14</v>
      </c>
      <c r="C401" s="1" t="s">
        <v>408</v>
      </c>
      <c r="D401" s="1" t="s">
        <v>15</v>
      </c>
      <c r="E401" s="1" t="s">
        <v>16</v>
      </c>
      <c r="F401" s="1" t="s">
        <v>29</v>
      </c>
      <c r="G401" s="1" t="s">
        <v>87</v>
      </c>
      <c r="H401" s="1" t="s">
        <v>398</v>
      </c>
      <c r="I401" s="1" t="s">
        <v>396</v>
      </c>
      <c r="J401" s="1" t="s">
        <v>26</v>
      </c>
      <c r="K401" s="1">
        <v>55</v>
      </c>
      <c r="L401" s="1">
        <v>32595</v>
      </c>
      <c r="M401" s="2">
        <f t="shared" si="104"/>
        <v>1792725</v>
      </c>
      <c r="N401" s="1">
        <v>296875.26</v>
      </c>
      <c r="O401" s="1">
        <f t="shared" si="105"/>
        <v>2089600.26</v>
      </c>
      <c r="P401" s="1">
        <v>5037</v>
      </c>
      <c r="Q401" s="1">
        <f t="shared" si="106"/>
        <v>2084563.26</v>
      </c>
      <c r="R401" s="1">
        <v>281916.25</v>
      </c>
      <c r="S401" s="1">
        <f t="shared" si="109"/>
        <v>112766.5</v>
      </c>
      <c r="T401" s="1">
        <f t="shared" si="108"/>
        <v>732982.25</v>
      </c>
      <c r="U401" s="1">
        <v>1127665</v>
      </c>
      <c r="V401" s="1">
        <f t="shared" si="103"/>
        <v>956898.26</v>
      </c>
      <c r="W401" s="1">
        <v>4.4000000000000004</v>
      </c>
    </row>
    <row r="402" spans="1:23" x14ac:dyDescent="0.25">
      <c r="A402" s="1" t="s">
        <v>297</v>
      </c>
      <c r="B402" s="1" t="s">
        <v>32</v>
      </c>
      <c r="C402" s="1" t="s">
        <v>408</v>
      </c>
      <c r="D402" s="1" t="s">
        <v>22</v>
      </c>
      <c r="E402" s="1" t="s">
        <v>23</v>
      </c>
      <c r="F402" s="1" t="s">
        <v>17</v>
      </c>
      <c r="G402" s="1" t="s">
        <v>38</v>
      </c>
      <c r="H402" s="1" t="s">
        <v>398</v>
      </c>
      <c r="I402" s="1" t="s">
        <v>396</v>
      </c>
      <c r="J402" s="1" t="s">
        <v>46</v>
      </c>
      <c r="K402" s="1">
        <v>100</v>
      </c>
      <c r="L402" s="1">
        <v>10513</v>
      </c>
      <c r="M402" s="2">
        <f t="shared" si="104"/>
        <v>1051300</v>
      </c>
      <c r="N402" s="1">
        <v>166525.92000000001</v>
      </c>
      <c r="O402" s="1">
        <f t="shared" si="105"/>
        <v>1217825.92</v>
      </c>
      <c r="P402" s="1">
        <v>8201</v>
      </c>
      <c r="Q402" s="1">
        <f t="shared" si="106"/>
        <v>1209624.92</v>
      </c>
      <c r="R402" s="1">
        <f t="shared" ref="R402:R403" si="110">0.62*U402</f>
        <v>436232</v>
      </c>
      <c r="S402" s="1">
        <f t="shared" ref="S402:S403" si="111">U402*0.2</f>
        <v>140720</v>
      </c>
      <c r="T402" s="1">
        <f t="shared" si="108"/>
        <v>126648</v>
      </c>
      <c r="U402" s="1">
        <v>703600</v>
      </c>
      <c r="V402" s="1">
        <f t="shared" si="103"/>
        <v>506024.91999999993</v>
      </c>
      <c r="W402" s="1">
        <v>3.6</v>
      </c>
    </row>
    <row r="403" spans="1:23" x14ac:dyDescent="0.25">
      <c r="A403" s="1" t="s">
        <v>132</v>
      </c>
      <c r="B403" s="1" t="s">
        <v>14</v>
      </c>
      <c r="C403" s="1" t="s">
        <v>408</v>
      </c>
      <c r="D403" s="1" t="s">
        <v>22</v>
      </c>
      <c r="E403" s="1" t="s">
        <v>23</v>
      </c>
      <c r="F403" s="1" t="s">
        <v>17</v>
      </c>
      <c r="G403" s="1" t="s">
        <v>75</v>
      </c>
      <c r="H403" s="1" t="s">
        <v>399</v>
      </c>
      <c r="I403" s="1" t="s">
        <v>397</v>
      </c>
      <c r="J403" s="1" t="s">
        <v>26</v>
      </c>
      <c r="K403" s="1">
        <v>68</v>
      </c>
      <c r="L403" s="1">
        <v>29053</v>
      </c>
      <c r="M403" s="2">
        <f t="shared" si="104"/>
        <v>1975604</v>
      </c>
      <c r="N403" s="1">
        <v>327160.02</v>
      </c>
      <c r="O403" s="1">
        <f t="shared" si="105"/>
        <v>2302764.02</v>
      </c>
      <c r="P403" s="1">
        <v>6260</v>
      </c>
      <c r="Q403" s="1">
        <f t="shared" si="106"/>
        <v>2296504.02</v>
      </c>
      <c r="R403" s="1">
        <f t="shared" si="110"/>
        <v>874271.92</v>
      </c>
      <c r="S403" s="1">
        <f t="shared" si="111"/>
        <v>282023.2</v>
      </c>
      <c r="T403" s="1">
        <f t="shared" si="108"/>
        <v>253820.88</v>
      </c>
      <c r="U403" s="1">
        <v>1410116</v>
      </c>
      <c r="V403" s="1">
        <f t="shared" si="103"/>
        <v>886388.02</v>
      </c>
      <c r="W403" s="1">
        <v>4.5999999999999996</v>
      </c>
    </row>
    <row r="404" spans="1:23" x14ac:dyDescent="0.25">
      <c r="A404" s="1" t="s">
        <v>250</v>
      </c>
      <c r="B404" s="1" t="s">
        <v>37</v>
      </c>
      <c r="C404" s="1" t="s">
        <v>408</v>
      </c>
      <c r="D404" s="1" t="s">
        <v>15</v>
      </c>
      <c r="E404" s="1" t="s">
        <v>16</v>
      </c>
      <c r="F404" s="1" t="s">
        <v>29</v>
      </c>
      <c r="G404" s="1" t="s">
        <v>87</v>
      </c>
      <c r="H404" s="1" t="s">
        <v>398</v>
      </c>
      <c r="I404" s="1" t="s">
        <v>19</v>
      </c>
      <c r="J404" s="1" t="s">
        <v>46</v>
      </c>
      <c r="K404" s="1">
        <v>120</v>
      </c>
      <c r="L404" s="1">
        <v>11995</v>
      </c>
      <c r="M404" s="2">
        <f t="shared" si="104"/>
        <v>1439400</v>
      </c>
      <c r="N404" s="1">
        <v>220228.2</v>
      </c>
      <c r="O404" s="1">
        <f t="shared" si="105"/>
        <v>1659628.2</v>
      </c>
      <c r="P404" s="1">
        <v>5222</v>
      </c>
      <c r="Q404" s="1">
        <f t="shared" si="106"/>
        <v>1654406.2</v>
      </c>
      <c r="R404" s="1">
        <v>270030</v>
      </c>
      <c r="S404" s="1">
        <f>U404*0.1</f>
        <v>108012</v>
      </c>
      <c r="T404" s="1">
        <f t="shared" si="108"/>
        <v>702078</v>
      </c>
      <c r="U404" s="1">
        <v>1080120</v>
      </c>
      <c r="V404" s="1">
        <f t="shared" si="103"/>
        <v>574286.19999999995</v>
      </c>
      <c r="W404" s="1">
        <v>4.7</v>
      </c>
    </row>
    <row r="405" spans="1:23" x14ac:dyDescent="0.25">
      <c r="A405" s="1" t="s">
        <v>298</v>
      </c>
      <c r="B405" s="1" t="s">
        <v>109</v>
      </c>
      <c r="C405" s="1" t="s">
        <v>408</v>
      </c>
      <c r="D405" s="1" t="s">
        <v>52</v>
      </c>
      <c r="E405" s="1" t="s">
        <v>23</v>
      </c>
      <c r="F405" s="1" t="s">
        <v>24</v>
      </c>
      <c r="G405" s="1" t="s">
        <v>25</v>
      </c>
      <c r="H405" s="1" t="s">
        <v>398</v>
      </c>
      <c r="I405" s="1" t="s">
        <v>19</v>
      </c>
      <c r="J405" s="1" t="s">
        <v>46</v>
      </c>
      <c r="K405" s="1">
        <v>70</v>
      </c>
      <c r="L405" s="1">
        <v>9766</v>
      </c>
      <c r="M405" s="2">
        <f t="shared" si="104"/>
        <v>683620</v>
      </c>
      <c r="N405" s="1">
        <v>108285.41</v>
      </c>
      <c r="O405" s="1">
        <f t="shared" si="105"/>
        <v>791905.41</v>
      </c>
      <c r="P405" s="1">
        <v>6404</v>
      </c>
      <c r="Q405" s="1">
        <f t="shared" si="106"/>
        <v>785501.41</v>
      </c>
      <c r="R405" s="1">
        <v>131722.5</v>
      </c>
      <c r="S405" s="1">
        <f t="shared" si="107"/>
        <v>105378</v>
      </c>
      <c r="T405" s="1">
        <f t="shared" si="108"/>
        <v>289789.5</v>
      </c>
      <c r="U405" s="1">
        <v>526890</v>
      </c>
      <c r="V405" s="1">
        <f t="shared" si="103"/>
        <v>258611.41000000003</v>
      </c>
      <c r="W405" s="1">
        <v>4.4000000000000004</v>
      </c>
    </row>
    <row r="406" spans="1:23" x14ac:dyDescent="0.25">
      <c r="A406" s="1" t="s">
        <v>207</v>
      </c>
      <c r="B406" s="1" t="s">
        <v>109</v>
      </c>
      <c r="C406" s="1" t="s">
        <v>408</v>
      </c>
      <c r="D406" s="1" t="s">
        <v>74</v>
      </c>
      <c r="E406" s="1" t="s">
        <v>56</v>
      </c>
      <c r="F406" s="1" t="s">
        <v>17</v>
      </c>
      <c r="G406" s="1" t="s">
        <v>35</v>
      </c>
      <c r="H406" s="1" t="s">
        <v>399</v>
      </c>
      <c r="I406" s="1" t="s">
        <v>397</v>
      </c>
      <c r="J406" s="1" t="s">
        <v>46</v>
      </c>
      <c r="K406" s="1">
        <v>58</v>
      </c>
      <c r="L406" s="1">
        <v>35941</v>
      </c>
      <c r="M406" s="2">
        <f t="shared" si="104"/>
        <v>2084578</v>
      </c>
      <c r="N406" s="1">
        <v>375224.04</v>
      </c>
      <c r="O406" s="1">
        <f t="shared" si="105"/>
        <v>2459802.04</v>
      </c>
      <c r="P406" s="1">
        <v>6041</v>
      </c>
      <c r="Q406" s="1">
        <f t="shared" si="106"/>
        <v>2453761.04</v>
      </c>
      <c r="R406" s="1">
        <f t="shared" ref="R406:R409" si="112">0.62*U406</f>
        <v>831646.92</v>
      </c>
      <c r="S406" s="1">
        <f t="shared" si="107"/>
        <v>268273.2</v>
      </c>
      <c r="T406" s="1">
        <f t="shared" si="108"/>
        <v>241445.88</v>
      </c>
      <c r="U406" s="1">
        <v>1341366</v>
      </c>
      <c r="V406" s="1">
        <f t="shared" si="103"/>
        <v>1112395.04</v>
      </c>
      <c r="W406" s="1">
        <v>4.0999999999999996</v>
      </c>
    </row>
    <row r="407" spans="1:23" x14ac:dyDescent="0.25">
      <c r="A407" s="1" t="s">
        <v>233</v>
      </c>
      <c r="B407" s="1" t="s">
        <v>69</v>
      </c>
      <c r="C407" s="1" t="s">
        <v>408</v>
      </c>
      <c r="D407" s="1" t="s">
        <v>74</v>
      </c>
      <c r="E407" s="1" t="s">
        <v>56</v>
      </c>
      <c r="F407" s="1" t="s">
        <v>17</v>
      </c>
      <c r="G407" s="1" t="s">
        <v>35</v>
      </c>
      <c r="H407" s="1" t="s">
        <v>398</v>
      </c>
      <c r="I407" s="1" t="s">
        <v>395</v>
      </c>
      <c r="J407" s="1" t="s">
        <v>46</v>
      </c>
      <c r="K407" s="1">
        <v>154</v>
      </c>
      <c r="L407" s="1">
        <v>30314</v>
      </c>
      <c r="M407" s="2">
        <f t="shared" si="104"/>
        <v>4668356</v>
      </c>
      <c r="N407" s="1">
        <v>739467.59</v>
      </c>
      <c r="O407" s="1">
        <f t="shared" si="105"/>
        <v>5407823.5899999999</v>
      </c>
      <c r="P407" s="1">
        <v>6170</v>
      </c>
      <c r="Q407" s="1">
        <f t="shared" si="106"/>
        <v>5401653.5899999999</v>
      </c>
      <c r="R407" s="1">
        <f t="shared" si="112"/>
        <v>1936047.96</v>
      </c>
      <c r="S407" s="1">
        <f t="shared" si="107"/>
        <v>624531.6</v>
      </c>
      <c r="T407" s="1">
        <f t="shared" si="108"/>
        <v>562078.43999999994</v>
      </c>
      <c r="U407" s="1">
        <v>3122658</v>
      </c>
      <c r="V407" s="1">
        <f t="shared" si="103"/>
        <v>2278995.59</v>
      </c>
      <c r="W407" s="1">
        <v>3.9</v>
      </c>
    </row>
    <row r="408" spans="1:23" x14ac:dyDescent="0.25">
      <c r="A408" s="1" t="s">
        <v>299</v>
      </c>
      <c r="B408" s="1" t="s">
        <v>69</v>
      </c>
      <c r="C408" s="1" t="s">
        <v>408</v>
      </c>
      <c r="D408" s="1" t="s">
        <v>42</v>
      </c>
      <c r="E408" s="1" t="s">
        <v>43</v>
      </c>
      <c r="F408" s="1" t="s">
        <v>17</v>
      </c>
      <c r="G408" s="1" t="s">
        <v>35</v>
      </c>
      <c r="H408" s="1" t="s">
        <v>398</v>
      </c>
      <c r="I408" s="1" t="s">
        <v>19</v>
      </c>
      <c r="J408" s="1" t="s">
        <v>26</v>
      </c>
      <c r="K408" s="1">
        <v>68</v>
      </c>
      <c r="L408" s="1">
        <v>13630</v>
      </c>
      <c r="M408" s="2">
        <f t="shared" si="104"/>
        <v>926840</v>
      </c>
      <c r="N408" s="1">
        <v>146811.46</v>
      </c>
      <c r="O408" s="1">
        <f t="shared" si="105"/>
        <v>1073651.46</v>
      </c>
      <c r="P408" s="1">
        <v>5908</v>
      </c>
      <c r="Q408" s="1">
        <f t="shared" si="106"/>
        <v>1067743.46</v>
      </c>
      <c r="R408" s="1">
        <f t="shared" si="112"/>
        <v>437410</v>
      </c>
      <c r="S408" s="1">
        <f t="shared" si="107"/>
        <v>141100</v>
      </c>
      <c r="T408" s="1">
        <f t="shared" si="108"/>
        <v>126990</v>
      </c>
      <c r="U408" s="1">
        <v>705500</v>
      </c>
      <c r="V408" s="1">
        <f t="shared" si="103"/>
        <v>362243.45999999996</v>
      </c>
      <c r="W408" s="1">
        <v>4.8</v>
      </c>
    </row>
    <row r="409" spans="1:23" x14ac:dyDescent="0.25">
      <c r="A409" s="1" t="s">
        <v>173</v>
      </c>
      <c r="B409" s="1" t="s">
        <v>21</v>
      </c>
      <c r="C409" s="1" t="s">
        <v>408</v>
      </c>
      <c r="D409" s="1" t="s">
        <v>55</v>
      </c>
      <c r="E409" s="1" t="s">
        <v>56</v>
      </c>
      <c r="F409" s="1" t="s">
        <v>17</v>
      </c>
      <c r="G409" s="1" t="s">
        <v>18</v>
      </c>
      <c r="H409" s="1" t="s">
        <v>399</v>
      </c>
      <c r="I409" s="1" t="s">
        <v>39</v>
      </c>
      <c r="J409" s="1" t="s">
        <v>46</v>
      </c>
      <c r="K409" s="1">
        <v>106</v>
      </c>
      <c r="L409" s="1">
        <v>27168</v>
      </c>
      <c r="M409" s="2">
        <f t="shared" si="104"/>
        <v>2879808</v>
      </c>
      <c r="N409" s="1">
        <v>476896.2</v>
      </c>
      <c r="O409" s="1">
        <f t="shared" si="105"/>
        <v>3356704.2</v>
      </c>
      <c r="P409" s="1">
        <v>5654</v>
      </c>
      <c r="Q409" s="1">
        <f t="shared" si="106"/>
        <v>3351050.2</v>
      </c>
      <c r="R409" s="1">
        <f t="shared" si="112"/>
        <v>1250060.1199999999</v>
      </c>
      <c r="S409" s="1">
        <f t="shared" si="107"/>
        <v>403245.2</v>
      </c>
      <c r="T409" s="1">
        <f t="shared" si="108"/>
        <v>362920.68000000017</v>
      </c>
      <c r="U409" s="1">
        <v>2016226</v>
      </c>
      <c r="V409" s="1">
        <f t="shared" si="103"/>
        <v>1334824.2000000002</v>
      </c>
      <c r="W409" s="1">
        <v>3.7</v>
      </c>
    </row>
    <row r="410" spans="1:23" x14ac:dyDescent="0.25">
      <c r="A410" s="1" t="s">
        <v>286</v>
      </c>
      <c r="B410" s="1" t="s">
        <v>69</v>
      </c>
      <c r="C410" s="1" t="s">
        <v>408</v>
      </c>
      <c r="D410" s="1" t="s">
        <v>48</v>
      </c>
      <c r="E410" s="1" t="s">
        <v>49</v>
      </c>
      <c r="F410" s="1" t="s">
        <v>24</v>
      </c>
      <c r="G410" s="1" t="s">
        <v>63</v>
      </c>
      <c r="H410" s="1" t="s">
        <v>399</v>
      </c>
      <c r="I410" s="1" t="s">
        <v>395</v>
      </c>
      <c r="J410" s="1" t="s">
        <v>26</v>
      </c>
      <c r="K410" s="1">
        <v>35</v>
      </c>
      <c r="L410" s="1">
        <v>16951</v>
      </c>
      <c r="M410" s="2">
        <f t="shared" si="104"/>
        <v>593285</v>
      </c>
      <c r="N410" s="1">
        <v>106791.3</v>
      </c>
      <c r="O410" s="1">
        <f t="shared" si="105"/>
        <v>700076.3</v>
      </c>
      <c r="P410" s="1">
        <v>7568</v>
      </c>
      <c r="Q410" s="1">
        <f t="shared" si="106"/>
        <v>692508.3</v>
      </c>
      <c r="R410" s="1">
        <v>118580</v>
      </c>
      <c r="S410" s="1">
        <f t="shared" si="107"/>
        <v>94864</v>
      </c>
      <c r="T410" s="1">
        <f t="shared" si="108"/>
        <v>260876</v>
      </c>
      <c r="U410" s="1">
        <v>474320</v>
      </c>
      <c r="V410" s="1">
        <f t="shared" si="103"/>
        <v>218188.30000000005</v>
      </c>
      <c r="W410" s="1">
        <v>4.9000000000000004</v>
      </c>
    </row>
    <row r="411" spans="1:23" x14ac:dyDescent="0.25">
      <c r="A411" s="1" t="s">
        <v>300</v>
      </c>
      <c r="B411" s="1" t="s">
        <v>14</v>
      </c>
      <c r="C411" s="1" t="s">
        <v>408</v>
      </c>
      <c r="D411" s="1" t="s">
        <v>42</v>
      </c>
      <c r="E411" s="1" t="s">
        <v>43</v>
      </c>
      <c r="F411" s="1" t="s">
        <v>17</v>
      </c>
      <c r="G411" s="1" t="s">
        <v>35</v>
      </c>
      <c r="H411" s="1" t="s">
        <v>399</v>
      </c>
      <c r="I411" s="1" t="s">
        <v>397</v>
      </c>
      <c r="J411" s="1" t="s">
        <v>46</v>
      </c>
      <c r="K411" s="1">
        <v>45</v>
      </c>
      <c r="L411" s="1">
        <v>23837</v>
      </c>
      <c r="M411" s="2">
        <f t="shared" si="104"/>
        <v>1072665</v>
      </c>
      <c r="N411" s="1">
        <v>183425.71</v>
      </c>
      <c r="O411" s="1">
        <f t="shared" si="105"/>
        <v>1256090.71</v>
      </c>
      <c r="P411" s="1">
        <v>6160</v>
      </c>
      <c r="Q411" s="1">
        <f t="shared" si="106"/>
        <v>1249930.71</v>
      </c>
      <c r="R411" s="1">
        <f t="shared" ref="R411:R412" si="113">0.62*U411</f>
        <v>539781.30000000005</v>
      </c>
      <c r="S411" s="1">
        <f t="shared" si="107"/>
        <v>174123</v>
      </c>
      <c r="T411" s="1">
        <f t="shared" si="108"/>
        <v>156710.69999999995</v>
      </c>
      <c r="U411" s="1">
        <v>870615</v>
      </c>
      <c r="V411" s="1">
        <f t="shared" si="103"/>
        <v>379315.70999999996</v>
      </c>
      <c r="W411" s="1">
        <v>4.5999999999999996</v>
      </c>
    </row>
    <row r="412" spans="1:23" x14ac:dyDescent="0.25">
      <c r="A412" s="1" t="s">
        <v>263</v>
      </c>
      <c r="B412" s="1" t="s">
        <v>58</v>
      </c>
      <c r="C412" s="1" t="s">
        <v>408</v>
      </c>
      <c r="D412" s="1" t="s">
        <v>22</v>
      </c>
      <c r="E412" s="1" t="s">
        <v>23</v>
      </c>
      <c r="F412" s="1" t="s">
        <v>17</v>
      </c>
      <c r="G412" s="1" t="s">
        <v>35</v>
      </c>
      <c r="H412" s="1" t="s">
        <v>399</v>
      </c>
      <c r="I412" s="1" t="s">
        <v>395</v>
      </c>
      <c r="J412" s="1" t="s">
        <v>26</v>
      </c>
      <c r="K412" s="1">
        <v>61</v>
      </c>
      <c r="L412" s="1">
        <v>722</v>
      </c>
      <c r="M412" s="2">
        <f t="shared" si="104"/>
        <v>44042</v>
      </c>
      <c r="N412" s="1">
        <v>7927.56</v>
      </c>
      <c r="O412" s="1">
        <f t="shared" si="105"/>
        <v>51969.56</v>
      </c>
      <c r="P412" s="1">
        <v>6561</v>
      </c>
      <c r="Q412" s="1">
        <f t="shared" si="106"/>
        <v>45408.56</v>
      </c>
      <c r="R412" s="1">
        <f t="shared" si="113"/>
        <v>22162.52</v>
      </c>
      <c r="S412" s="1">
        <f t="shared" si="107"/>
        <v>7149.2000000000007</v>
      </c>
      <c r="T412" s="1">
        <f t="shared" si="108"/>
        <v>6434.2799999999988</v>
      </c>
      <c r="U412" s="1">
        <v>35746</v>
      </c>
      <c r="V412" s="1">
        <f t="shared" si="103"/>
        <v>9662.5599999999977</v>
      </c>
      <c r="W412" s="1">
        <v>4.3</v>
      </c>
    </row>
    <row r="413" spans="1:23" x14ac:dyDescent="0.25">
      <c r="A413" s="1" t="s">
        <v>301</v>
      </c>
      <c r="B413" s="1" t="s">
        <v>77</v>
      </c>
      <c r="C413" s="1" t="s">
        <v>408</v>
      </c>
      <c r="D413" s="1" t="s">
        <v>22</v>
      </c>
      <c r="E413" s="1" t="s">
        <v>23</v>
      </c>
      <c r="F413" s="1" t="s">
        <v>24</v>
      </c>
      <c r="G413" s="1" t="s">
        <v>119</v>
      </c>
      <c r="H413" s="1" t="s">
        <v>398</v>
      </c>
      <c r="I413" s="1" t="s">
        <v>19</v>
      </c>
      <c r="J413" s="1" t="s">
        <v>46</v>
      </c>
      <c r="K413" s="1">
        <v>49</v>
      </c>
      <c r="L413" s="1">
        <v>10944</v>
      </c>
      <c r="M413" s="2">
        <f t="shared" si="104"/>
        <v>536256</v>
      </c>
      <c r="N413" s="1">
        <v>84942.95</v>
      </c>
      <c r="O413" s="1">
        <f t="shared" si="105"/>
        <v>621198.94999999995</v>
      </c>
      <c r="P413" s="1">
        <v>7342</v>
      </c>
      <c r="Q413" s="1">
        <f t="shared" si="106"/>
        <v>613856.94999999995</v>
      </c>
      <c r="R413" s="1">
        <v>104909</v>
      </c>
      <c r="S413" s="1">
        <f t="shared" si="107"/>
        <v>83927.200000000012</v>
      </c>
      <c r="T413" s="1">
        <f t="shared" si="108"/>
        <v>230799.8</v>
      </c>
      <c r="U413" s="1">
        <v>419636</v>
      </c>
      <c r="V413" s="1">
        <f t="shared" si="103"/>
        <v>194220.94999999995</v>
      </c>
      <c r="W413" s="1">
        <v>4.4000000000000004</v>
      </c>
    </row>
    <row r="414" spans="1:23" x14ac:dyDescent="0.25">
      <c r="A414" s="1" t="s">
        <v>302</v>
      </c>
      <c r="B414" s="1" t="s">
        <v>58</v>
      </c>
      <c r="C414" s="1" t="s">
        <v>408</v>
      </c>
      <c r="D414" s="1" t="s">
        <v>74</v>
      </c>
      <c r="E414" s="1" t="s">
        <v>56</v>
      </c>
      <c r="F414" s="1" t="s">
        <v>59</v>
      </c>
      <c r="G414" s="1" t="s">
        <v>121</v>
      </c>
      <c r="H414" s="1" t="s">
        <v>398</v>
      </c>
      <c r="I414" s="1" t="s">
        <v>395</v>
      </c>
      <c r="J414" s="1" t="s">
        <v>26</v>
      </c>
      <c r="K414" s="1">
        <v>152</v>
      </c>
      <c r="L414" s="1">
        <v>24131</v>
      </c>
      <c r="M414" s="2">
        <f t="shared" si="104"/>
        <v>3667912</v>
      </c>
      <c r="N414" s="1">
        <v>627212.94999999995</v>
      </c>
      <c r="O414" s="1">
        <f t="shared" si="105"/>
        <v>4295124.95</v>
      </c>
      <c r="P414" s="1">
        <v>7450</v>
      </c>
      <c r="Q414" s="1">
        <f t="shared" si="106"/>
        <v>4287674.95</v>
      </c>
      <c r="R414" s="1">
        <f>0.7*U414</f>
        <v>1777305.5999999999</v>
      </c>
      <c r="S414" s="1">
        <f t="shared" si="107"/>
        <v>507801.60000000003</v>
      </c>
      <c r="T414" s="1">
        <f t="shared" si="108"/>
        <v>253900.80000000005</v>
      </c>
      <c r="U414" s="1">
        <v>2539008</v>
      </c>
      <c r="V414" s="1">
        <f t="shared" si="103"/>
        <v>1748666.9500000002</v>
      </c>
      <c r="W414" s="1">
        <v>4.2</v>
      </c>
    </row>
    <row r="415" spans="1:23" x14ac:dyDescent="0.25">
      <c r="A415" s="1" t="s">
        <v>168</v>
      </c>
      <c r="B415" s="1" t="s">
        <v>51</v>
      </c>
      <c r="C415" s="1" t="s">
        <v>408</v>
      </c>
      <c r="D415" s="1" t="s">
        <v>74</v>
      </c>
      <c r="E415" s="1" t="s">
        <v>56</v>
      </c>
      <c r="F415" s="1" t="s">
        <v>29</v>
      </c>
      <c r="G415" s="1" t="s">
        <v>30</v>
      </c>
      <c r="H415" s="1" t="s">
        <v>399</v>
      </c>
      <c r="I415" s="1" t="s">
        <v>39</v>
      </c>
      <c r="J415" s="1" t="s">
        <v>46</v>
      </c>
      <c r="K415" s="1">
        <v>133</v>
      </c>
      <c r="L415" s="1">
        <v>15463</v>
      </c>
      <c r="M415" s="2">
        <f t="shared" si="104"/>
        <v>2056579</v>
      </c>
      <c r="N415" s="1">
        <v>351675.01</v>
      </c>
      <c r="O415" s="1">
        <f t="shared" si="105"/>
        <v>2408254.0099999998</v>
      </c>
      <c r="P415" s="1">
        <v>8056</v>
      </c>
      <c r="Q415" s="1">
        <f t="shared" si="106"/>
        <v>2400198.0099999998</v>
      </c>
      <c r="R415" s="1">
        <v>1282386</v>
      </c>
      <c r="S415" s="1">
        <f t="shared" ref="S415:S416" si="114">U415*0.1</f>
        <v>170984.80000000002</v>
      </c>
      <c r="T415" s="1">
        <f t="shared" si="108"/>
        <v>256477.19999999995</v>
      </c>
      <c r="U415" s="1">
        <v>1709848</v>
      </c>
      <c r="V415" s="1">
        <f t="shared" si="103"/>
        <v>690350.00999999978</v>
      </c>
      <c r="W415" s="1">
        <v>4.0999999999999996</v>
      </c>
    </row>
    <row r="416" spans="1:23" x14ac:dyDescent="0.25">
      <c r="A416" s="1" t="s">
        <v>133</v>
      </c>
      <c r="B416" s="1" t="s">
        <v>28</v>
      </c>
      <c r="C416" s="1" t="s">
        <v>408</v>
      </c>
      <c r="D416" s="1" t="s">
        <v>15</v>
      </c>
      <c r="E416" s="1" t="s">
        <v>16</v>
      </c>
      <c r="F416" s="1" t="s">
        <v>29</v>
      </c>
      <c r="G416" s="1" t="s">
        <v>53</v>
      </c>
      <c r="H416" s="1" t="s">
        <v>398</v>
      </c>
      <c r="I416" s="1" t="s">
        <v>397</v>
      </c>
      <c r="J416" s="1" t="s">
        <v>46</v>
      </c>
      <c r="K416" s="1">
        <v>198</v>
      </c>
      <c r="L416" s="1">
        <v>1222</v>
      </c>
      <c r="M416" s="2">
        <f t="shared" si="104"/>
        <v>241956</v>
      </c>
      <c r="N416" s="1">
        <v>40067.910000000003</v>
      </c>
      <c r="O416" s="1">
        <f t="shared" si="105"/>
        <v>282023.91000000003</v>
      </c>
      <c r="P416" s="1">
        <v>9529</v>
      </c>
      <c r="Q416" s="1">
        <f t="shared" si="106"/>
        <v>272494.91000000003</v>
      </c>
      <c r="R416" s="1">
        <v>136471.5</v>
      </c>
      <c r="S416" s="1">
        <f t="shared" si="114"/>
        <v>18196.2</v>
      </c>
      <c r="T416" s="1">
        <f t="shared" si="108"/>
        <v>27294.299999999988</v>
      </c>
      <c r="U416" s="1">
        <v>181962</v>
      </c>
      <c r="V416" s="1">
        <f t="shared" si="103"/>
        <v>90532.910000000033</v>
      </c>
      <c r="W416" s="1">
        <v>4.7</v>
      </c>
    </row>
    <row r="417" spans="1:23" x14ac:dyDescent="0.25">
      <c r="A417" s="1" t="s">
        <v>65</v>
      </c>
      <c r="B417" s="1" t="s">
        <v>14</v>
      </c>
      <c r="C417" s="1" t="s">
        <v>408</v>
      </c>
      <c r="D417" s="1" t="s">
        <v>48</v>
      </c>
      <c r="E417" s="1" t="s">
        <v>49</v>
      </c>
      <c r="F417" s="1" t="s">
        <v>59</v>
      </c>
      <c r="G417" s="1" t="s">
        <v>60</v>
      </c>
      <c r="H417" s="1" t="s">
        <v>398</v>
      </c>
      <c r="I417" s="1" t="s">
        <v>19</v>
      </c>
      <c r="J417" s="1" t="s">
        <v>46</v>
      </c>
      <c r="K417" s="1">
        <v>39</v>
      </c>
      <c r="L417" s="1">
        <v>23045</v>
      </c>
      <c r="M417" s="2">
        <f t="shared" si="104"/>
        <v>898755</v>
      </c>
      <c r="N417" s="1">
        <v>153687.1</v>
      </c>
      <c r="O417" s="1">
        <f t="shared" si="105"/>
        <v>1052442.1000000001</v>
      </c>
      <c r="P417" s="1">
        <v>7924</v>
      </c>
      <c r="Q417" s="1">
        <f t="shared" si="106"/>
        <v>1044518.1000000001</v>
      </c>
      <c r="R417" s="1">
        <f t="shared" ref="R417:R418" si="115">0.7*U417</f>
        <v>438492.6</v>
      </c>
      <c r="S417" s="1">
        <f t="shared" si="107"/>
        <v>125283.6</v>
      </c>
      <c r="T417" s="1">
        <f t="shared" si="108"/>
        <v>62641.800000000047</v>
      </c>
      <c r="U417" s="1">
        <v>626418</v>
      </c>
      <c r="V417" s="1">
        <f t="shared" si="103"/>
        <v>418100.10000000009</v>
      </c>
      <c r="W417" s="1">
        <v>3.7</v>
      </c>
    </row>
    <row r="418" spans="1:23" x14ac:dyDescent="0.25">
      <c r="A418" s="1" t="s">
        <v>303</v>
      </c>
      <c r="B418" s="1" t="s">
        <v>32</v>
      </c>
      <c r="C418" s="1" t="s">
        <v>408</v>
      </c>
      <c r="D418" s="1" t="s">
        <v>78</v>
      </c>
      <c r="E418" s="1" t="s">
        <v>49</v>
      </c>
      <c r="F418" s="1" t="s">
        <v>59</v>
      </c>
      <c r="G418" s="1" t="s">
        <v>67</v>
      </c>
      <c r="H418" s="1" t="s">
        <v>398</v>
      </c>
      <c r="I418" s="1" t="s">
        <v>397</v>
      </c>
      <c r="J418" s="1" t="s">
        <v>46</v>
      </c>
      <c r="K418" s="1">
        <v>63</v>
      </c>
      <c r="L418" s="1">
        <v>10116</v>
      </c>
      <c r="M418" s="2">
        <f t="shared" si="104"/>
        <v>637308</v>
      </c>
      <c r="N418" s="1">
        <v>108979.67</v>
      </c>
      <c r="O418" s="1">
        <f t="shared" si="105"/>
        <v>746287.67</v>
      </c>
      <c r="P418" s="1">
        <v>6136</v>
      </c>
      <c r="Q418" s="1">
        <f t="shared" si="106"/>
        <v>740151.67</v>
      </c>
      <c r="R418" s="1">
        <f t="shared" si="115"/>
        <v>304378.19999999995</v>
      </c>
      <c r="S418" s="1">
        <f t="shared" si="107"/>
        <v>86965.200000000012</v>
      </c>
      <c r="T418" s="1">
        <f t="shared" si="108"/>
        <v>43482.600000000035</v>
      </c>
      <c r="U418" s="1">
        <v>434826</v>
      </c>
      <c r="V418" s="1">
        <f t="shared" si="103"/>
        <v>305325.67000000004</v>
      </c>
      <c r="W418" s="1">
        <v>4.0999999999999996</v>
      </c>
    </row>
    <row r="419" spans="1:23" x14ac:dyDescent="0.25">
      <c r="A419" s="1" t="s">
        <v>177</v>
      </c>
      <c r="B419" s="1" t="s">
        <v>32</v>
      </c>
      <c r="C419" s="1" t="s">
        <v>408</v>
      </c>
      <c r="D419" s="1" t="s">
        <v>15</v>
      </c>
      <c r="E419" s="1" t="s">
        <v>16</v>
      </c>
      <c r="F419" s="1" t="s">
        <v>24</v>
      </c>
      <c r="G419" s="1" t="s">
        <v>143</v>
      </c>
      <c r="H419" s="1" t="s">
        <v>399</v>
      </c>
      <c r="I419" s="1" t="s">
        <v>395</v>
      </c>
      <c r="J419" s="1" t="s">
        <v>46</v>
      </c>
      <c r="K419" s="1">
        <v>33</v>
      </c>
      <c r="L419" s="1">
        <v>23999</v>
      </c>
      <c r="M419" s="2">
        <f t="shared" si="104"/>
        <v>791967</v>
      </c>
      <c r="N419" s="1">
        <v>131149.74</v>
      </c>
      <c r="O419" s="1">
        <f t="shared" si="105"/>
        <v>923116.74</v>
      </c>
      <c r="P419" s="1">
        <v>9570</v>
      </c>
      <c r="Q419" s="1">
        <f t="shared" si="106"/>
        <v>913546.74</v>
      </c>
      <c r="R419" s="1">
        <v>254859</v>
      </c>
      <c r="S419" s="1">
        <f t="shared" si="107"/>
        <v>101943.6</v>
      </c>
      <c r="T419" s="1">
        <f t="shared" si="108"/>
        <v>152915.40000000002</v>
      </c>
      <c r="U419" s="1">
        <v>509718</v>
      </c>
      <c r="V419" s="1">
        <f t="shared" si="103"/>
        <v>403828.74</v>
      </c>
      <c r="W419" s="1">
        <v>3.8</v>
      </c>
    </row>
    <row r="420" spans="1:23" x14ac:dyDescent="0.25">
      <c r="A420" s="1" t="s">
        <v>205</v>
      </c>
      <c r="B420" s="1" t="s">
        <v>28</v>
      </c>
      <c r="C420" s="1" t="s">
        <v>408</v>
      </c>
      <c r="D420" s="1" t="s">
        <v>22</v>
      </c>
      <c r="E420" s="1" t="s">
        <v>23</v>
      </c>
      <c r="F420" s="1" t="s">
        <v>29</v>
      </c>
      <c r="G420" s="1" t="s">
        <v>30</v>
      </c>
      <c r="H420" s="1" t="s">
        <v>399</v>
      </c>
      <c r="I420" s="1" t="s">
        <v>395</v>
      </c>
      <c r="J420" s="1" t="s">
        <v>26</v>
      </c>
      <c r="K420" s="1">
        <v>137</v>
      </c>
      <c r="L420" s="1">
        <v>17603</v>
      </c>
      <c r="M420" s="2">
        <f t="shared" si="104"/>
        <v>2411611</v>
      </c>
      <c r="N420" s="1">
        <v>412385.48</v>
      </c>
      <c r="O420" s="1">
        <f t="shared" si="105"/>
        <v>2823996.48</v>
      </c>
      <c r="P420" s="1">
        <v>7922</v>
      </c>
      <c r="Q420" s="1">
        <f t="shared" si="106"/>
        <v>2816074.48</v>
      </c>
      <c r="R420" s="1">
        <v>389730.75</v>
      </c>
      <c r="S420" s="1">
        <f>U420*0.1</f>
        <v>155892.30000000002</v>
      </c>
      <c r="T420" s="1">
        <f t="shared" si="108"/>
        <v>1013299.95</v>
      </c>
      <c r="U420" s="1">
        <v>1558923</v>
      </c>
      <c r="V420" s="1">
        <f t="shared" si="103"/>
        <v>1257151.48</v>
      </c>
      <c r="W420" s="1">
        <v>4.8</v>
      </c>
    </row>
    <row r="421" spans="1:23" x14ac:dyDescent="0.25">
      <c r="A421" s="1" t="s">
        <v>304</v>
      </c>
      <c r="B421" s="1" t="s">
        <v>14</v>
      </c>
      <c r="C421" s="1" t="s">
        <v>408</v>
      </c>
      <c r="D421" s="1" t="s">
        <v>74</v>
      </c>
      <c r="E421" s="1" t="s">
        <v>56</v>
      </c>
      <c r="F421" s="1" t="s">
        <v>59</v>
      </c>
      <c r="G421" s="1" t="s">
        <v>85</v>
      </c>
      <c r="H421" s="1" t="s">
        <v>398</v>
      </c>
      <c r="I421" s="1" t="s">
        <v>19</v>
      </c>
      <c r="J421" s="1" t="s">
        <v>26</v>
      </c>
      <c r="K421" s="1">
        <v>85</v>
      </c>
      <c r="L421" s="1">
        <v>17552</v>
      </c>
      <c r="M421" s="2">
        <f t="shared" si="104"/>
        <v>1491920</v>
      </c>
      <c r="N421" s="1">
        <v>228263.76</v>
      </c>
      <c r="O421" s="1">
        <f t="shared" si="105"/>
        <v>1720183.76</v>
      </c>
      <c r="P421" s="1">
        <v>9609</v>
      </c>
      <c r="Q421" s="1">
        <f t="shared" si="106"/>
        <v>1710574.76</v>
      </c>
      <c r="R421" s="1">
        <f>0.7*U421</f>
        <v>710787</v>
      </c>
      <c r="S421" s="1">
        <f t="shared" si="107"/>
        <v>203082</v>
      </c>
      <c r="T421" s="1">
        <f t="shared" si="108"/>
        <v>101541</v>
      </c>
      <c r="U421" s="1">
        <v>1015410</v>
      </c>
      <c r="V421" s="1">
        <f t="shared" si="103"/>
        <v>695164.76</v>
      </c>
      <c r="W421" s="1">
        <v>4.9000000000000004</v>
      </c>
    </row>
    <row r="422" spans="1:23" x14ac:dyDescent="0.25">
      <c r="A422" s="1" t="s">
        <v>305</v>
      </c>
      <c r="B422" s="1" t="s">
        <v>69</v>
      </c>
      <c r="C422" s="1" t="s">
        <v>408</v>
      </c>
      <c r="D422" s="1" t="s">
        <v>52</v>
      </c>
      <c r="E422" s="1" t="s">
        <v>23</v>
      </c>
      <c r="F422" s="1" t="s">
        <v>29</v>
      </c>
      <c r="G422" s="1" t="s">
        <v>97</v>
      </c>
      <c r="H422" s="1" t="s">
        <v>399</v>
      </c>
      <c r="I422" s="1" t="s">
        <v>397</v>
      </c>
      <c r="J422" s="1" t="s">
        <v>26</v>
      </c>
      <c r="K422" s="1">
        <v>168</v>
      </c>
      <c r="L422" s="1">
        <v>15789</v>
      </c>
      <c r="M422" s="2">
        <f t="shared" si="104"/>
        <v>2652552</v>
      </c>
      <c r="N422" s="1">
        <v>477459.36</v>
      </c>
      <c r="O422" s="1">
        <f t="shared" si="105"/>
        <v>3130011.36</v>
      </c>
      <c r="P422" s="1">
        <v>8288</v>
      </c>
      <c r="Q422" s="1">
        <f t="shared" si="106"/>
        <v>3121723.36</v>
      </c>
      <c r="R422" s="1">
        <v>1598688</v>
      </c>
      <c r="S422" s="1">
        <f>U422*0.1</f>
        <v>213158.40000000002</v>
      </c>
      <c r="T422" s="1">
        <f t="shared" si="108"/>
        <v>319737.60000000009</v>
      </c>
      <c r="U422" s="1">
        <v>2131584</v>
      </c>
      <c r="V422" s="1">
        <f t="shared" si="103"/>
        <v>990139.35999999987</v>
      </c>
      <c r="W422" s="1">
        <v>4.9000000000000004</v>
      </c>
    </row>
    <row r="423" spans="1:23" x14ac:dyDescent="0.25">
      <c r="A423" s="1" t="s">
        <v>306</v>
      </c>
      <c r="B423" s="1" t="s">
        <v>77</v>
      </c>
      <c r="C423" s="1" t="s">
        <v>408</v>
      </c>
      <c r="D423" s="1" t="s">
        <v>15</v>
      </c>
      <c r="E423" s="1" t="s">
        <v>16</v>
      </c>
      <c r="F423" s="1" t="s">
        <v>17</v>
      </c>
      <c r="G423" s="1" t="s">
        <v>38</v>
      </c>
      <c r="H423" s="1" t="s">
        <v>399</v>
      </c>
      <c r="I423" s="1" t="s">
        <v>395</v>
      </c>
      <c r="J423" s="1" t="s">
        <v>26</v>
      </c>
      <c r="K423" s="1">
        <v>162</v>
      </c>
      <c r="L423" s="1">
        <v>29353</v>
      </c>
      <c r="M423" s="2">
        <f t="shared" si="104"/>
        <v>4755186</v>
      </c>
      <c r="N423" s="1">
        <v>753221.46</v>
      </c>
      <c r="O423" s="1">
        <f t="shared" si="105"/>
        <v>5508407.46</v>
      </c>
      <c r="P423" s="1">
        <v>5482</v>
      </c>
      <c r="Q423" s="1">
        <f t="shared" si="106"/>
        <v>5502925.46</v>
      </c>
      <c r="R423" s="1">
        <f>0.62*U423</f>
        <v>2092566.96</v>
      </c>
      <c r="S423" s="1">
        <f>U423*0.2</f>
        <v>675021.60000000009</v>
      </c>
      <c r="T423" s="1">
        <f t="shared" si="108"/>
        <v>607519.43999999994</v>
      </c>
      <c r="U423" s="1">
        <v>3375108</v>
      </c>
      <c r="V423" s="1">
        <f t="shared" si="103"/>
        <v>2127817.46</v>
      </c>
      <c r="W423" s="1">
        <v>4.0999999999999996</v>
      </c>
    </row>
    <row r="424" spans="1:23" x14ac:dyDescent="0.25">
      <c r="A424" s="1" t="s">
        <v>273</v>
      </c>
      <c r="B424" s="1" t="s">
        <v>41</v>
      </c>
      <c r="C424" s="1" t="s">
        <v>408</v>
      </c>
      <c r="D424" s="1" t="s">
        <v>55</v>
      </c>
      <c r="E424" s="1" t="s">
        <v>56</v>
      </c>
      <c r="F424" s="1" t="s">
        <v>24</v>
      </c>
      <c r="G424" s="1" t="s">
        <v>63</v>
      </c>
      <c r="H424" s="1" t="s">
        <v>398</v>
      </c>
      <c r="I424" s="1" t="s">
        <v>39</v>
      </c>
      <c r="J424" s="1" t="s">
        <v>46</v>
      </c>
      <c r="K424" s="1">
        <v>174</v>
      </c>
      <c r="L424" s="1">
        <v>22153</v>
      </c>
      <c r="M424" s="2">
        <f t="shared" si="104"/>
        <v>3854622</v>
      </c>
      <c r="N424" s="1">
        <v>610572.12</v>
      </c>
      <c r="O424" s="1">
        <f t="shared" si="105"/>
        <v>4465194.12</v>
      </c>
      <c r="P424" s="1">
        <v>8652</v>
      </c>
      <c r="Q424" s="1">
        <f t="shared" si="106"/>
        <v>4456542.12</v>
      </c>
      <c r="R424" s="1">
        <v>634360.5</v>
      </c>
      <c r="S424" s="1">
        <f t="shared" si="107"/>
        <v>507488.4</v>
      </c>
      <c r="T424" s="1">
        <f t="shared" si="108"/>
        <v>1395593.1</v>
      </c>
      <c r="U424" s="1">
        <v>2537442</v>
      </c>
      <c r="V424" s="1">
        <f t="shared" si="103"/>
        <v>1919100.12</v>
      </c>
      <c r="W424" s="1">
        <v>4.7</v>
      </c>
    </row>
    <row r="425" spans="1:23" x14ac:dyDescent="0.25">
      <c r="A425" s="1" t="s">
        <v>307</v>
      </c>
      <c r="B425" s="1" t="s">
        <v>77</v>
      </c>
      <c r="C425" s="1" t="s">
        <v>408</v>
      </c>
      <c r="D425" s="1" t="s">
        <v>15</v>
      </c>
      <c r="E425" s="1" t="s">
        <v>16</v>
      </c>
      <c r="F425" s="1" t="s">
        <v>17</v>
      </c>
      <c r="G425" s="1" t="s">
        <v>72</v>
      </c>
      <c r="H425" s="1" t="s">
        <v>399</v>
      </c>
      <c r="I425" s="1" t="s">
        <v>19</v>
      </c>
      <c r="J425" s="1" t="s">
        <v>26</v>
      </c>
      <c r="K425" s="1">
        <v>185</v>
      </c>
      <c r="L425" s="1">
        <v>10910</v>
      </c>
      <c r="M425" s="2">
        <f t="shared" si="104"/>
        <v>2018350</v>
      </c>
      <c r="N425" s="1">
        <v>319706.64</v>
      </c>
      <c r="O425" s="1">
        <f t="shared" si="105"/>
        <v>2338056.64</v>
      </c>
      <c r="P425" s="1">
        <v>9634</v>
      </c>
      <c r="Q425" s="1">
        <f t="shared" si="106"/>
        <v>2328422.64</v>
      </c>
      <c r="R425" s="1">
        <f t="shared" ref="R425:R426" si="116">0.62*U425</f>
        <v>908424</v>
      </c>
      <c r="S425" s="1">
        <f t="shared" si="107"/>
        <v>293040</v>
      </c>
      <c r="T425" s="1">
        <f t="shared" si="108"/>
        <v>263736</v>
      </c>
      <c r="U425" s="1">
        <v>1465200</v>
      </c>
      <c r="V425" s="1">
        <f t="shared" si="103"/>
        <v>863222.64000000013</v>
      </c>
      <c r="W425" s="1">
        <v>3.5</v>
      </c>
    </row>
    <row r="426" spans="1:23" x14ac:dyDescent="0.25">
      <c r="A426" s="1" t="s">
        <v>180</v>
      </c>
      <c r="B426" s="1" t="s">
        <v>41</v>
      </c>
      <c r="C426" s="1" t="s">
        <v>408</v>
      </c>
      <c r="D426" s="1" t="s">
        <v>42</v>
      </c>
      <c r="E426" s="1" t="s">
        <v>43</v>
      </c>
      <c r="F426" s="1" t="s">
        <v>17</v>
      </c>
      <c r="G426" s="1" t="s">
        <v>72</v>
      </c>
      <c r="H426" s="1" t="s">
        <v>398</v>
      </c>
      <c r="I426" s="1" t="s">
        <v>19</v>
      </c>
      <c r="J426" s="1" t="s">
        <v>46</v>
      </c>
      <c r="K426" s="1">
        <v>172</v>
      </c>
      <c r="L426" s="1">
        <v>21207</v>
      </c>
      <c r="M426" s="2">
        <f t="shared" si="104"/>
        <v>3647604</v>
      </c>
      <c r="N426" s="1">
        <v>623740.28</v>
      </c>
      <c r="O426" s="1">
        <f t="shared" si="105"/>
        <v>4271344.28</v>
      </c>
      <c r="P426" s="1">
        <v>7076</v>
      </c>
      <c r="Q426" s="1">
        <f t="shared" si="106"/>
        <v>4264268.28</v>
      </c>
      <c r="R426" s="1">
        <f t="shared" si="116"/>
        <v>1823970.56</v>
      </c>
      <c r="S426" s="1">
        <f t="shared" si="107"/>
        <v>588377.59999999998</v>
      </c>
      <c r="T426" s="1">
        <f t="shared" si="108"/>
        <v>529539.83999999985</v>
      </c>
      <c r="U426" s="1">
        <v>2941888</v>
      </c>
      <c r="V426" s="1">
        <f t="shared" si="103"/>
        <v>1322380.2800000003</v>
      </c>
      <c r="W426" s="1">
        <v>4.4000000000000004</v>
      </c>
    </row>
    <row r="427" spans="1:23" x14ac:dyDescent="0.25">
      <c r="A427" s="1" t="s">
        <v>308</v>
      </c>
      <c r="B427" s="1" t="s">
        <v>41</v>
      </c>
      <c r="C427" s="1" t="s">
        <v>408</v>
      </c>
      <c r="D427" s="1" t="s">
        <v>42</v>
      </c>
      <c r="E427" s="1" t="s">
        <v>43</v>
      </c>
      <c r="F427" s="1" t="s">
        <v>24</v>
      </c>
      <c r="G427" s="1" t="s">
        <v>25</v>
      </c>
      <c r="H427" s="1" t="s">
        <v>399</v>
      </c>
      <c r="I427" s="1" t="s">
        <v>396</v>
      </c>
      <c r="J427" s="1" t="s">
        <v>46</v>
      </c>
      <c r="K427" s="1">
        <v>12</v>
      </c>
      <c r="L427" s="1">
        <v>33574</v>
      </c>
      <c r="M427" s="2">
        <f t="shared" si="104"/>
        <v>402888</v>
      </c>
      <c r="N427" s="1">
        <v>68893.850000000006</v>
      </c>
      <c r="O427" s="1">
        <f t="shared" si="105"/>
        <v>471781.85</v>
      </c>
      <c r="P427" s="1">
        <v>7201</v>
      </c>
      <c r="Q427" s="1">
        <f t="shared" si="106"/>
        <v>464580.85</v>
      </c>
      <c r="R427" s="1">
        <v>211824</v>
      </c>
      <c r="S427" s="1">
        <f t="shared" si="107"/>
        <v>56486.400000000001</v>
      </c>
      <c r="T427" s="1">
        <f t="shared" si="108"/>
        <v>14121.600000000006</v>
      </c>
      <c r="U427" s="1">
        <v>282432</v>
      </c>
      <c r="V427" s="1">
        <f t="shared" si="103"/>
        <v>182148.84999999998</v>
      </c>
      <c r="W427" s="1">
        <v>4.5</v>
      </c>
    </row>
    <row r="428" spans="1:23" x14ac:dyDescent="0.25">
      <c r="A428" s="1" t="s">
        <v>309</v>
      </c>
      <c r="B428" s="1" t="s">
        <v>34</v>
      </c>
      <c r="C428" s="1" t="s">
        <v>408</v>
      </c>
      <c r="D428" s="1" t="s">
        <v>15</v>
      </c>
      <c r="E428" s="1" t="s">
        <v>16</v>
      </c>
      <c r="F428" s="1" t="s">
        <v>29</v>
      </c>
      <c r="G428" s="1" t="s">
        <v>30</v>
      </c>
      <c r="H428" s="1" t="s">
        <v>399</v>
      </c>
      <c r="I428" s="1" t="s">
        <v>39</v>
      </c>
      <c r="J428" s="1" t="s">
        <v>46</v>
      </c>
      <c r="K428" s="1">
        <v>183</v>
      </c>
      <c r="L428" s="1">
        <v>26673</v>
      </c>
      <c r="M428" s="2">
        <f t="shared" si="104"/>
        <v>4881159</v>
      </c>
      <c r="N428" s="1">
        <v>773175.59</v>
      </c>
      <c r="O428" s="1">
        <f t="shared" si="105"/>
        <v>5654334.5899999999</v>
      </c>
      <c r="P428" s="1">
        <v>9029</v>
      </c>
      <c r="Q428" s="1">
        <f t="shared" si="106"/>
        <v>5645305.5899999999</v>
      </c>
      <c r="R428" s="1">
        <v>870393.75</v>
      </c>
      <c r="S428" s="1">
        <f>U428*0.1</f>
        <v>348157.5</v>
      </c>
      <c r="T428" s="1">
        <f t="shared" si="108"/>
        <v>2263023.75</v>
      </c>
      <c r="U428" s="1">
        <v>3481575</v>
      </c>
      <c r="V428" s="1">
        <f t="shared" si="103"/>
        <v>2163730.59</v>
      </c>
      <c r="W428" s="1">
        <v>3.9</v>
      </c>
    </row>
    <row r="429" spans="1:23" x14ac:dyDescent="0.25">
      <c r="A429" s="1" t="s">
        <v>193</v>
      </c>
      <c r="B429" s="1" t="s">
        <v>69</v>
      </c>
      <c r="C429" s="1" t="s">
        <v>408</v>
      </c>
      <c r="D429" s="1" t="s">
        <v>15</v>
      </c>
      <c r="E429" s="1" t="s">
        <v>16</v>
      </c>
      <c r="F429" s="1" t="s">
        <v>59</v>
      </c>
      <c r="G429" s="1" t="s">
        <v>67</v>
      </c>
      <c r="H429" s="1" t="s">
        <v>399</v>
      </c>
      <c r="I429" s="1" t="s">
        <v>39</v>
      </c>
      <c r="J429" s="1" t="s">
        <v>46</v>
      </c>
      <c r="K429" s="1">
        <v>44</v>
      </c>
      <c r="L429" s="1">
        <v>10033</v>
      </c>
      <c r="M429" s="2">
        <f t="shared" si="104"/>
        <v>441452</v>
      </c>
      <c r="N429" s="1">
        <v>75488.289999999994</v>
      </c>
      <c r="O429" s="1">
        <f t="shared" si="105"/>
        <v>516940.29</v>
      </c>
      <c r="P429" s="1">
        <v>8411</v>
      </c>
      <c r="Q429" s="1">
        <f t="shared" si="106"/>
        <v>508529.29</v>
      </c>
      <c r="R429" s="1">
        <f>0.7*U429</f>
        <v>199892</v>
      </c>
      <c r="S429" s="1">
        <f t="shared" si="107"/>
        <v>57112</v>
      </c>
      <c r="T429" s="1">
        <f t="shared" si="108"/>
        <v>28556</v>
      </c>
      <c r="U429" s="1">
        <v>285560</v>
      </c>
      <c r="V429" s="1">
        <f t="shared" si="103"/>
        <v>222969.28999999998</v>
      </c>
      <c r="W429" s="1">
        <v>4.7</v>
      </c>
    </row>
    <row r="430" spans="1:23" x14ac:dyDescent="0.25">
      <c r="A430" s="1" t="s">
        <v>304</v>
      </c>
      <c r="B430" s="1" t="s">
        <v>32</v>
      </c>
      <c r="C430" s="1" t="s">
        <v>408</v>
      </c>
      <c r="D430" s="1" t="s">
        <v>15</v>
      </c>
      <c r="E430" s="1" t="s">
        <v>16</v>
      </c>
      <c r="F430" s="1" t="s">
        <v>29</v>
      </c>
      <c r="G430" s="1" t="s">
        <v>53</v>
      </c>
      <c r="H430" s="1" t="s">
        <v>399</v>
      </c>
      <c r="I430" s="1" t="s">
        <v>395</v>
      </c>
      <c r="J430" s="1" t="s">
        <v>46</v>
      </c>
      <c r="K430" s="1">
        <v>110</v>
      </c>
      <c r="L430" s="1">
        <v>4739</v>
      </c>
      <c r="M430" s="2">
        <f t="shared" si="104"/>
        <v>521290</v>
      </c>
      <c r="N430" s="1">
        <v>82572.34</v>
      </c>
      <c r="O430" s="1">
        <f t="shared" si="105"/>
        <v>603862.34</v>
      </c>
      <c r="P430" s="1">
        <v>5536</v>
      </c>
      <c r="Q430" s="1">
        <f t="shared" si="106"/>
        <v>598326.34</v>
      </c>
      <c r="R430" s="1">
        <v>90832.5</v>
      </c>
      <c r="S430" s="1">
        <f>U430*0.1</f>
        <v>36333</v>
      </c>
      <c r="T430" s="1">
        <f t="shared" si="108"/>
        <v>236164.5</v>
      </c>
      <c r="U430" s="1">
        <v>363330</v>
      </c>
      <c r="V430" s="1">
        <f t="shared" si="103"/>
        <v>234996.33999999997</v>
      </c>
      <c r="W430" s="1">
        <v>4</v>
      </c>
    </row>
    <row r="431" spans="1:23" x14ac:dyDescent="0.25">
      <c r="A431" s="1" t="s">
        <v>246</v>
      </c>
      <c r="B431" s="1" t="s">
        <v>21</v>
      </c>
      <c r="C431" s="1" t="s">
        <v>408</v>
      </c>
      <c r="D431" s="1" t="s">
        <v>22</v>
      </c>
      <c r="E431" s="1" t="s">
        <v>23</v>
      </c>
      <c r="F431" s="1" t="s">
        <v>59</v>
      </c>
      <c r="G431" s="1" t="s">
        <v>67</v>
      </c>
      <c r="H431" s="1" t="s">
        <v>398</v>
      </c>
      <c r="I431" s="1" t="s">
        <v>39</v>
      </c>
      <c r="J431" s="1" t="s">
        <v>46</v>
      </c>
      <c r="K431" s="1">
        <v>90</v>
      </c>
      <c r="L431" s="1">
        <v>4010</v>
      </c>
      <c r="M431" s="2">
        <f t="shared" si="104"/>
        <v>360900</v>
      </c>
      <c r="N431" s="1">
        <v>55217.7</v>
      </c>
      <c r="O431" s="1">
        <f t="shared" si="105"/>
        <v>416117.7</v>
      </c>
      <c r="P431" s="1">
        <v>8842</v>
      </c>
      <c r="Q431" s="1">
        <f t="shared" si="106"/>
        <v>407275.7</v>
      </c>
      <c r="R431" s="1">
        <f>0.7*U431</f>
        <v>178101</v>
      </c>
      <c r="S431" s="1">
        <f t="shared" si="107"/>
        <v>50886</v>
      </c>
      <c r="T431" s="1">
        <f t="shared" si="108"/>
        <v>25443</v>
      </c>
      <c r="U431" s="1">
        <v>254430</v>
      </c>
      <c r="V431" s="1">
        <f t="shared" si="103"/>
        <v>152845.70000000001</v>
      </c>
      <c r="W431" s="1">
        <v>4.7</v>
      </c>
    </row>
    <row r="432" spans="1:23" x14ac:dyDescent="0.25">
      <c r="A432" s="1" t="s">
        <v>310</v>
      </c>
      <c r="B432" s="1" t="s">
        <v>77</v>
      </c>
      <c r="C432" s="1" t="s">
        <v>408</v>
      </c>
      <c r="D432" s="1" t="s">
        <v>48</v>
      </c>
      <c r="E432" s="1" t="s">
        <v>49</v>
      </c>
      <c r="F432" s="1" t="s">
        <v>24</v>
      </c>
      <c r="G432" s="1" t="s">
        <v>143</v>
      </c>
      <c r="H432" s="1" t="s">
        <v>398</v>
      </c>
      <c r="I432" s="1" t="s">
        <v>19</v>
      </c>
      <c r="J432" s="1" t="s">
        <v>46</v>
      </c>
      <c r="K432" s="1">
        <v>200</v>
      </c>
      <c r="L432" s="1">
        <v>3519</v>
      </c>
      <c r="M432" s="2">
        <f t="shared" si="104"/>
        <v>703800</v>
      </c>
      <c r="N432" s="1">
        <v>116549.28</v>
      </c>
      <c r="O432" s="1">
        <f t="shared" si="105"/>
        <v>820349.28</v>
      </c>
      <c r="P432" s="1">
        <v>8539</v>
      </c>
      <c r="Q432" s="1">
        <f t="shared" si="106"/>
        <v>811810.28</v>
      </c>
      <c r="R432" s="1">
        <v>133200</v>
      </c>
      <c r="S432" s="1">
        <f t="shared" si="107"/>
        <v>106560</v>
      </c>
      <c r="T432" s="1">
        <f t="shared" si="108"/>
        <v>293040</v>
      </c>
      <c r="U432" s="1">
        <v>532800</v>
      </c>
      <c r="V432" s="1">
        <f t="shared" si="103"/>
        <v>279010.28000000003</v>
      </c>
      <c r="W432" s="1">
        <v>4.7</v>
      </c>
    </row>
    <row r="433" spans="1:23" x14ac:dyDescent="0.25">
      <c r="A433" s="1" t="s">
        <v>311</v>
      </c>
      <c r="B433" s="1" t="s">
        <v>21</v>
      </c>
      <c r="C433" s="1" t="s">
        <v>408</v>
      </c>
      <c r="D433" s="1" t="s">
        <v>15</v>
      </c>
      <c r="E433" s="1" t="s">
        <v>16</v>
      </c>
      <c r="F433" s="1" t="s">
        <v>59</v>
      </c>
      <c r="G433" s="1" t="s">
        <v>67</v>
      </c>
      <c r="H433" s="1" t="s">
        <v>398</v>
      </c>
      <c r="I433" s="1" t="s">
        <v>395</v>
      </c>
      <c r="J433" s="1" t="s">
        <v>46</v>
      </c>
      <c r="K433" s="1">
        <v>25</v>
      </c>
      <c r="L433" s="1">
        <v>9629</v>
      </c>
      <c r="M433" s="2">
        <f t="shared" si="104"/>
        <v>240725</v>
      </c>
      <c r="N433" s="1">
        <v>38130.839999999997</v>
      </c>
      <c r="O433" s="1">
        <f t="shared" si="105"/>
        <v>278855.83999999997</v>
      </c>
      <c r="P433" s="1">
        <v>9770</v>
      </c>
      <c r="Q433" s="1">
        <f t="shared" si="106"/>
        <v>269085.83999999997</v>
      </c>
      <c r="R433" s="1">
        <f>0.7*U433</f>
        <v>124669.99999999999</v>
      </c>
      <c r="S433" s="1">
        <f t="shared" si="107"/>
        <v>35620</v>
      </c>
      <c r="T433" s="1">
        <f t="shared" si="108"/>
        <v>17810.000000000015</v>
      </c>
      <c r="U433" s="1">
        <v>178100</v>
      </c>
      <c r="V433" s="1">
        <f t="shared" si="103"/>
        <v>90985.839999999967</v>
      </c>
      <c r="W433" s="1">
        <v>4.7</v>
      </c>
    </row>
    <row r="434" spans="1:23" x14ac:dyDescent="0.25">
      <c r="A434" s="1" t="s">
        <v>216</v>
      </c>
      <c r="B434" s="1" t="s">
        <v>51</v>
      </c>
      <c r="C434" s="1" t="s">
        <v>408</v>
      </c>
      <c r="D434" s="1" t="s">
        <v>48</v>
      </c>
      <c r="E434" s="1" t="s">
        <v>49</v>
      </c>
      <c r="F434" s="1" t="s">
        <v>17</v>
      </c>
      <c r="G434" s="1" t="s">
        <v>72</v>
      </c>
      <c r="H434" s="1" t="s">
        <v>398</v>
      </c>
      <c r="I434" s="1" t="s">
        <v>395</v>
      </c>
      <c r="J434" s="1" t="s">
        <v>26</v>
      </c>
      <c r="K434" s="1">
        <v>198</v>
      </c>
      <c r="L434" s="1">
        <v>9102</v>
      </c>
      <c r="M434" s="2">
        <f t="shared" si="104"/>
        <v>1802196</v>
      </c>
      <c r="N434" s="1">
        <v>324395.28000000003</v>
      </c>
      <c r="O434" s="1">
        <f t="shared" si="105"/>
        <v>2126591.2800000003</v>
      </c>
      <c r="P434" s="1">
        <v>8513</v>
      </c>
      <c r="Q434" s="1">
        <f t="shared" si="106"/>
        <v>2118078.2800000003</v>
      </c>
      <c r="R434" s="1">
        <f>0.62*U434</f>
        <v>825683.76</v>
      </c>
      <c r="S434" s="1">
        <f>U434*0.2</f>
        <v>266349.60000000003</v>
      </c>
      <c r="T434" s="1">
        <f t="shared" si="108"/>
        <v>239714.6399999999</v>
      </c>
      <c r="U434" s="1">
        <v>1331748</v>
      </c>
      <c r="V434" s="1">
        <f t="shared" si="103"/>
        <v>786330.28000000026</v>
      </c>
      <c r="W434" s="1">
        <v>3.9</v>
      </c>
    </row>
    <row r="435" spans="1:23" x14ac:dyDescent="0.25">
      <c r="A435" s="1" t="s">
        <v>66</v>
      </c>
      <c r="B435" s="1" t="s">
        <v>77</v>
      </c>
      <c r="C435" s="1" t="s">
        <v>408</v>
      </c>
      <c r="D435" s="1" t="s">
        <v>78</v>
      </c>
      <c r="E435" s="1" t="s">
        <v>49</v>
      </c>
      <c r="F435" s="1" t="s">
        <v>29</v>
      </c>
      <c r="G435" s="1" t="s">
        <v>30</v>
      </c>
      <c r="H435" s="1" t="s">
        <v>399</v>
      </c>
      <c r="I435" s="1" t="s">
        <v>19</v>
      </c>
      <c r="J435" s="1" t="s">
        <v>46</v>
      </c>
      <c r="K435" s="1">
        <v>165</v>
      </c>
      <c r="L435" s="1">
        <v>12322</v>
      </c>
      <c r="M435" s="2">
        <f t="shared" si="104"/>
        <v>2033130</v>
      </c>
      <c r="N435" s="1">
        <v>336686.33</v>
      </c>
      <c r="O435" s="1">
        <f t="shared" si="105"/>
        <v>2369816.33</v>
      </c>
      <c r="P435" s="1">
        <v>9546</v>
      </c>
      <c r="Q435" s="1">
        <f t="shared" si="106"/>
        <v>2360270.33</v>
      </c>
      <c r="R435" s="1">
        <v>1270046.25</v>
      </c>
      <c r="S435" s="1">
        <f>U435*0.1</f>
        <v>169339.5</v>
      </c>
      <c r="T435" s="1">
        <f t="shared" si="108"/>
        <v>254009.25</v>
      </c>
      <c r="U435" s="1">
        <v>1693395</v>
      </c>
      <c r="V435" s="1">
        <f t="shared" si="103"/>
        <v>666875.33000000007</v>
      </c>
      <c r="W435" s="1">
        <v>4.9000000000000004</v>
      </c>
    </row>
    <row r="436" spans="1:23" x14ac:dyDescent="0.25">
      <c r="A436" s="1" t="s">
        <v>293</v>
      </c>
      <c r="B436" s="1" t="s">
        <v>41</v>
      </c>
      <c r="C436" s="1" t="s">
        <v>408</v>
      </c>
      <c r="D436" s="1" t="s">
        <v>22</v>
      </c>
      <c r="E436" s="1" t="s">
        <v>23</v>
      </c>
      <c r="F436" s="1" t="s">
        <v>17</v>
      </c>
      <c r="G436" s="1" t="s">
        <v>35</v>
      </c>
      <c r="H436" s="1" t="s">
        <v>398</v>
      </c>
      <c r="I436" s="1" t="s">
        <v>396</v>
      </c>
      <c r="J436" s="1" t="s">
        <v>46</v>
      </c>
      <c r="K436" s="1">
        <v>45</v>
      </c>
      <c r="L436" s="1">
        <v>17065</v>
      </c>
      <c r="M436" s="2">
        <f t="shared" si="104"/>
        <v>767925</v>
      </c>
      <c r="N436" s="1">
        <v>138226.5</v>
      </c>
      <c r="O436" s="1">
        <f t="shared" si="105"/>
        <v>906151.5</v>
      </c>
      <c r="P436" s="1">
        <v>7207</v>
      </c>
      <c r="Q436" s="1">
        <f t="shared" si="106"/>
        <v>898944.5</v>
      </c>
      <c r="R436" s="1">
        <f>0.62*U436</f>
        <v>344007</v>
      </c>
      <c r="S436" s="1">
        <f>U436*0.2</f>
        <v>110970</v>
      </c>
      <c r="T436" s="1">
        <f t="shared" si="108"/>
        <v>99873</v>
      </c>
      <c r="U436" s="1">
        <v>554850</v>
      </c>
      <c r="V436" s="1">
        <f t="shared" si="103"/>
        <v>344094.5</v>
      </c>
      <c r="W436" s="1">
        <v>5</v>
      </c>
    </row>
    <row r="437" spans="1:23" x14ac:dyDescent="0.25">
      <c r="A437" s="1" t="s">
        <v>169</v>
      </c>
      <c r="B437" s="1" t="s">
        <v>21</v>
      </c>
      <c r="C437" s="1" t="s">
        <v>408</v>
      </c>
      <c r="D437" s="1" t="s">
        <v>55</v>
      </c>
      <c r="E437" s="1" t="s">
        <v>56</v>
      </c>
      <c r="F437" s="1" t="s">
        <v>29</v>
      </c>
      <c r="G437" s="1" t="s">
        <v>97</v>
      </c>
      <c r="H437" s="1" t="s">
        <v>398</v>
      </c>
      <c r="I437" s="1" t="s">
        <v>395</v>
      </c>
      <c r="J437" s="1" t="s">
        <v>26</v>
      </c>
      <c r="K437" s="1">
        <v>163</v>
      </c>
      <c r="L437" s="1">
        <v>29885</v>
      </c>
      <c r="M437" s="2">
        <f t="shared" si="104"/>
        <v>4871255</v>
      </c>
      <c r="N437" s="1">
        <v>832984.6</v>
      </c>
      <c r="O437" s="1">
        <f t="shared" si="105"/>
        <v>5704239.5999999996</v>
      </c>
      <c r="P437" s="1">
        <v>5285</v>
      </c>
      <c r="Q437" s="1">
        <f t="shared" si="106"/>
        <v>5698954.5999999996</v>
      </c>
      <c r="R437" s="1">
        <v>1712396.5</v>
      </c>
      <c r="S437" s="1">
        <f>U437*0.1</f>
        <v>342479.30000000005</v>
      </c>
      <c r="T437" s="1">
        <f t="shared" si="108"/>
        <v>1369917.2000000002</v>
      </c>
      <c r="U437" s="1">
        <v>3424793</v>
      </c>
      <c r="V437" s="1">
        <f t="shared" si="103"/>
        <v>2274161.5999999996</v>
      </c>
      <c r="W437" s="1">
        <v>5</v>
      </c>
    </row>
    <row r="438" spans="1:23" x14ac:dyDescent="0.25">
      <c r="A438" s="1" t="s">
        <v>228</v>
      </c>
      <c r="B438" s="1" t="s">
        <v>28</v>
      </c>
      <c r="C438" s="1" t="s">
        <v>408</v>
      </c>
      <c r="D438" s="1" t="s">
        <v>55</v>
      </c>
      <c r="E438" s="1" t="s">
        <v>56</v>
      </c>
      <c r="F438" s="1" t="s">
        <v>17</v>
      </c>
      <c r="G438" s="1" t="s">
        <v>75</v>
      </c>
      <c r="H438" s="1" t="s">
        <v>399</v>
      </c>
      <c r="I438" s="1" t="s">
        <v>39</v>
      </c>
      <c r="J438" s="1" t="s">
        <v>46</v>
      </c>
      <c r="K438" s="1">
        <v>110</v>
      </c>
      <c r="L438" s="1">
        <v>23434</v>
      </c>
      <c r="M438" s="2">
        <f t="shared" si="104"/>
        <v>2577740</v>
      </c>
      <c r="N438" s="1">
        <v>408314.02</v>
      </c>
      <c r="O438" s="1">
        <f t="shared" si="105"/>
        <v>2986054.02</v>
      </c>
      <c r="P438" s="1">
        <v>9696</v>
      </c>
      <c r="Q438" s="1">
        <f t="shared" si="106"/>
        <v>2976358.02</v>
      </c>
      <c r="R438" s="1">
        <f>0.62*U438</f>
        <v>1022045.2</v>
      </c>
      <c r="S438" s="1">
        <f>U438*0.2</f>
        <v>329692</v>
      </c>
      <c r="T438" s="1">
        <f t="shared" si="108"/>
        <v>296722.80000000005</v>
      </c>
      <c r="U438" s="1">
        <v>1648460</v>
      </c>
      <c r="V438" s="1">
        <f t="shared" si="103"/>
        <v>1327898.02</v>
      </c>
      <c r="W438" s="1">
        <v>3.9</v>
      </c>
    </row>
    <row r="439" spans="1:23" x14ac:dyDescent="0.25">
      <c r="A439" s="1" t="s">
        <v>312</v>
      </c>
      <c r="B439" s="1" t="s">
        <v>41</v>
      </c>
      <c r="C439" s="1" t="s">
        <v>408</v>
      </c>
      <c r="D439" s="1" t="s">
        <v>74</v>
      </c>
      <c r="E439" s="1" t="s">
        <v>56</v>
      </c>
      <c r="F439" s="1" t="s">
        <v>59</v>
      </c>
      <c r="G439" s="1" t="s">
        <v>121</v>
      </c>
      <c r="H439" s="1" t="s">
        <v>398</v>
      </c>
      <c r="I439" s="1" t="s">
        <v>19</v>
      </c>
      <c r="J439" s="1" t="s">
        <v>46</v>
      </c>
      <c r="K439" s="1">
        <v>178</v>
      </c>
      <c r="L439" s="1">
        <v>8976</v>
      </c>
      <c r="M439" s="2">
        <f t="shared" si="104"/>
        <v>1597728</v>
      </c>
      <c r="N439" s="1">
        <v>287591.03999999998</v>
      </c>
      <c r="O439" s="1">
        <f t="shared" si="105"/>
        <v>1885319.04</v>
      </c>
      <c r="P439" s="1">
        <v>5098</v>
      </c>
      <c r="Q439" s="1">
        <f t="shared" si="106"/>
        <v>1880221.04</v>
      </c>
      <c r="R439" s="1">
        <f t="shared" ref="R439:R442" si="117">0.7*U439</f>
        <v>868586.6</v>
      </c>
      <c r="S439" s="1">
        <f t="shared" si="107"/>
        <v>248167.6</v>
      </c>
      <c r="T439" s="1">
        <f t="shared" si="108"/>
        <v>124083.80000000005</v>
      </c>
      <c r="U439" s="1">
        <v>1240838</v>
      </c>
      <c r="V439" s="1">
        <f t="shared" si="103"/>
        <v>639383.04000000004</v>
      </c>
      <c r="W439" s="1">
        <v>3.6</v>
      </c>
    </row>
    <row r="440" spans="1:23" x14ac:dyDescent="0.25">
      <c r="A440" s="1" t="s">
        <v>313</v>
      </c>
      <c r="B440" s="1" t="s">
        <v>109</v>
      </c>
      <c r="C440" s="1" t="s">
        <v>408</v>
      </c>
      <c r="D440" s="1" t="s">
        <v>15</v>
      </c>
      <c r="E440" s="1" t="s">
        <v>16</v>
      </c>
      <c r="F440" s="1" t="s">
        <v>59</v>
      </c>
      <c r="G440" s="1" t="s">
        <v>85</v>
      </c>
      <c r="H440" s="1" t="s">
        <v>398</v>
      </c>
      <c r="I440" s="1" t="s">
        <v>19</v>
      </c>
      <c r="J440" s="1" t="s">
        <v>46</v>
      </c>
      <c r="K440" s="1">
        <v>48</v>
      </c>
      <c r="L440" s="1">
        <v>21333</v>
      </c>
      <c r="M440" s="2">
        <f t="shared" si="104"/>
        <v>1023984</v>
      </c>
      <c r="N440" s="1">
        <v>162199.07</v>
      </c>
      <c r="O440" s="1">
        <f t="shared" si="105"/>
        <v>1186183.07</v>
      </c>
      <c r="P440" s="1">
        <v>5987</v>
      </c>
      <c r="Q440" s="1">
        <f t="shared" si="106"/>
        <v>1180196.07</v>
      </c>
      <c r="R440" s="1">
        <f t="shared" si="117"/>
        <v>474431.99999999994</v>
      </c>
      <c r="S440" s="1">
        <f t="shared" si="107"/>
        <v>135552</v>
      </c>
      <c r="T440" s="1">
        <f t="shared" si="108"/>
        <v>67776.000000000058</v>
      </c>
      <c r="U440" s="1">
        <v>677760</v>
      </c>
      <c r="V440" s="1">
        <f t="shared" si="103"/>
        <v>502436.07000000007</v>
      </c>
      <c r="W440" s="1">
        <v>4.0999999999999996</v>
      </c>
    </row>
    <row r="441" spans="1:23" x14ac:dyDescent="0.25">
      <c r="A441" s="1" t="s">
        <v>314</v>
      </c>
      <c r="B441" s="1" t="s">
        <v>109</v>
      </c>
      <c r="C441" s="1" t="s">
        <v>408</v>
      </c>
      <c r="D441" s="1" t="s">
        <v>62</v>
      </c>
      <c r="E441" s="1" t="s">
        <v>43</v>
      </c>
      <c r="F441" s="1" t="s">
        <v>59</v>
      </c>
      <c r="G441" s="1" t="s">
        <v>60</v>
      </c>
      <c r="H441" s="1" t="s">
        <v>398</v>
      </c>
      <c r="I441" s="1" t="s">
        <v>19</v>
      </c>
      <c r="J441" s="1" t="s">
        <v>46</v>
      </c>
      <c r="K441" s="1">
        <v>108</v>
      </c>
      <c r="L441" s="1">
        <v>38338</v>
      </c>
      <c r="M441" s="2">
        <f t="shared" si="104"/>
        <v>4140504</v>
      </c>
      <c r="N441" s="1">
        <v>655855.82999999996</v>
      </c>
      <c r="O441" s="1">
        <f t="shared" si="105"/>
        <v>4796359.83</v>
      </c>
      <c r="P441" s="1">
        <v>5284</v>
      </c>
      <c r="Q441" s="1">
        <f t="shared" si="106"/>
        <v>4791075.83</v>
      </c>
      <c r="R441" s="1">
        <f t="shared" si="117"/>
        <v>1841615.9999999998</v>
      </c>
      <c r="S441" s="1">
        <f t="shared" si="107"/>
        <v>526176</v>
      </c>
      <c r="T441" s="1">
        <f t="shared" si="108"/>
        <v>263088.00000000023</v>
      </c>
      <c r="U441" s="1">
        <v>2630880</v>
      </c>
      <c r="V441" s="1">
        <f t="shared" si="103"/>
        <v>2160195.83</v>
      </c>
      <c r="W441" s="1">
        <v>4.7</v>
      </c>
    </row>
    <row r="442" spans="1:23" x14ac:dyDescent="0.25">
      <c r="A442" s="1" t="s">
        <v>315</v>
      </c>
      <c r="B442" s="1" t="s">
        <v>34</v>
      </c>
      <c r="C442" s="1" t="s">
        <v>408</v>
      </c>
      <c r="D442" s="1" t="s">
        <v>55</v>
      </c>
      <c r="E442" s="1" t="s">
        <v>56</v>
      </c>
      <c r="F442" s="1" t="s">
        <v>59</v>
      </c>
      <c r="G442" s="1" t="s">
        <v>103</v>
      </c>
      <c r="H442" s="1" t="s">
        <v>399</v>
      </c>
      <c r="I442" s="1" t="s">
        <v>397</v>
      </c>
      <c r="J442" s="1" t="s">
        <v>46</v>
      </c>
      <c r="K442" s="1">
        <v>180</v>
      </c>
      <c r="L442" s="1">
        <v>11167</v>
      </c>
      <c r="M442" s="2">
        <f t="shared" si="104"/>
        <v>2010060</v>
      </c>
      <c r="N442" s="1">
        <v>332865.94</v>
      </c>
      <c r="O442" s="1">
        <f t="shared" si="105"/>
        <v>2342925.94</v>
      </c>
      <c r="P442" s="1">
        <v>7951</v>
      </c>
      <c r="Q442" s="1">
        <f t="shared" si="106"/>
        <v>2334974.94</v>
      </c>
      <c r="R442" s="1">
        <f t="shared" si="117"/>
        <v>1031309.9999999999</v>
      </c>
      <c r="S442" s="1">
        <f t="shared" si="107"/>
        <v>294660</v>
      </c>
      <c r="T442" s="1">
        <f t="shared" si="108"/>
        <v>147330.00000000012</v>
      </c>
      <c r="U442" s="1">
        <v>1473300</v>
      </c>
      <c r="V442" s="1">
        <f t="shared" si="103"/>
        <v>861674.94</v>
      </c>
      <c r="W442" s="1">
        <v>4.2</v>
      </c>
    </row>
    <row r="443" spans="1:23" x14ac:dyDescent="0.25">
      <c r="A443" s="1" t="s">
        <v>20</v>
      </c>
      <c r="B443" s="1" t="s">
        <v>37</v>
      </c>
      <c r="C443" s="1" t="s">
        <v>408</v>
      </c>
      <c r="D443" s="1" t="s">
        <v>62</v>
      </c>
      <c r="E443" s="1" t="s">
        <v>43</v>
      </c>
      <c r="F443" s="1" t="s">
        <v>29</v>
      </c>
      <c r="G443" s="1" t="s">
        <v>97</v>
      </c>
      <c r="H443" s="1" t="s">
        <v>399</v>
      </c>
      <c r="I443" s="1" t="s">
        <v>396</v>
      </c>
      <c r="J443" s="1" t="s">
        <v>26</v>
      </c>
      <c r="K443" s="1">
        <v>137</v>
      </c>
      <c r="L443" s="1">
        <v>14687</v>
      </c>
      <c r="M443" s="2">
        <f t="shared" si="104"/>
        <v>2012119</v>
      </c>
      <c r="N443" s="1">
        <v>362181.42</v>
      </c>
      <c r="O443" s="1">
        <f t="shared" si="105"/>
        <v>2374300.42</v>
      </c>
      <c r="P443" s="1">
        <v>6205</v>
      </c>
      <c r="Q443" s="1">
        <f t="shared" si="106"/>
        <v>2368095.42</v>
      </c>
      <c r="R443" s="1">
        <v>400759.25</v>
      </c>
      <c r="S443" s="1">
        <f>U443*0.1</f>
        <v>160303.70000000001</v>
      </c>
      <c r="T443" s="1">
        <f t="shared" si="108"/>
        <v>1041974.05</v>
      </c>
      <c r="U443" s="1">
        <v>1603037</v>
      </c>
      <c r="V443" s="1">
        <f t="shared" si="103"/>
        <v>765058.41999999993</v>
      </c>
      <c r="W443" s="1">
        <v>5</v>
      </c>
    </row>
    <row r="444" spans="1:23" x14ac:dyDescent="0.25">
      <c r="A444" s="1" t="s">
        <v>316</v>
      </c>
      <c r="B444" s="1" t="s">
        <v>58</v>
      </c>
      <c r="C444" s="1" t="s">
        <v>408</v>
      </c>
      <c r="D444" s="1" t="s">
        <v>74</v>
      </c>
      <c r="E444" s="1" t="s">
        <v>56</v>
      </c>
      <c r="F444" s="1" t="s">
        <v>24</v>
      </c>
      <c r="G444" s="1" t="s">
        <v>119</v>
      </c>
      <c r="H444" s="1" t="s">
        <v>398</v>
      </c>
      <c r="I444" s="1" t="s">
        <v>19</v>
      </c>
      <c r="J444" s="1" t="s">
        <v>26</v>
      </c>
      <c r="K444" s="1">
        <v>174</v>
      </c>
      <c r="L444" s="1">
        <v>21497</v>
      </c>
      <c r="M444" s="2">
        <f t="shared" si="104"/>
        <v>3740478</v>
      </c>
      <c r="N444" s="1">
        <v>673286.04</v>
      </c>
      <c r="O444" s="1">
        <f t="shared" si="105"/>
        <v>4413764.04</v>
      </c>
      <c r="P444" s="1">
        <v>5639</v>
      </c>
      <c r="Q444" s="1">
        <f t="shared" si="106"/>
        <v>4408125.04</v>
      </c>
      <c r="R444" s="1">
        <v>2030319</v>
      </c>
      <c r="S444" s="1">
        <f t="shared" si="107"/>
        <v>541418.4</v>
      </c>
      <c r="T444" s="1">
        <f t="shared" si="108"/>
        <v>135354.60000000009</v>
      </c>
      <c r="U444" s="1">
        <v>2707092</v>
      </c>
      <c r="V444" s="1">
        <f t="shared" si="103"/>
        <v>1701033.04</v>
      </c>
      <c r="W444" s="1">
        <v>3.8</v>
      </c>
    </row>
    <row r="445" spans="1:23" x14ac:dyDescent="0.25">
      <c r="A445" s="1" t="s">
        <v>245</v>
      </c>
      <c r="B445" s="1" t="s">
        <v>37</v>
      </c>
      <c r="C445" s="1" t="s">
        <v>408</v>
      </c>
      <c r="D445" s="1" t="s">
        <v>74</v>
      </c>
      <c r="E445" s="1" t="s">
        <v>56</v>
      </c>
      <c r="F445" s="1" t="s">
        <v>29</v>
      </c>
      <c r="G445" s="1" t="s">
        <v>87</v>
      </c>
      <c r="H445" s="1" t="s">
        <v>399</v>
      </c>
      <c r="I445" s="1" t="s">
        <v>397</v>
      </c>
      <c r="J445" s="1" t="s">
        <v>46</v>
      </c>
      <c r="K445" s="1">
        <v>51</v>
      </c>
      <c r="L445" s="1">
        <v>3256</v>
      </c>
      <c r="M445" s="2">
        <f t="shared" si="104"/>
        <v>166056</v>
      </c>
      <c r="N445" s="1">
        <v>27498.87</v>
      </c>
      <c r="O445" s="1">
        <f t="shared" si="105"/>
        <v>193554.87</v>
      </c>
      <c r="P445" s="1">
        <v>8463</v>
      </c>
      <c r="Q445" s="1">
        <f t="shared" si="106"/>
        <v>185091.87</v>
      </c>
      <c r="R445" s="1">
        <v>29643.75</v>
      </c>
      <c r="S445" s="1">
        <f>U445*0.1</f>
        <v>11857.5</v>
      </c>
      <c r="T445" s="1">
        <f t="shared" si="108"/>
        <v>77073.75</v>
      </c>
      <c r="U445" s="1">
        <v>118575</v>
      </c>
      <c r="V445" s="1">
        <f t="shared" si="103"/>
        <v>66516.87</v>
      </c>
      <c r="W445" s="1">
        <v>4.3</v>
      </c>
    </row>
    <row r="446" spans="1:23" x14ac:dyDescent="0.25">
      <c r="A446" s="1" t="s">
        <v>233</v>
      </c>
      <c r="B446" s="1" t="s">
        <v>34</v>
      </c>
      <c r="C446" s="1" t="s">
        <v>408</v>
      </c>
      <c r="D446" s="1" t="s">
        <v>78</v>
      </c>
      <c r="E446" s="1" t="s">
        <v>49</v>
      </c>
      <c r="F446" s="1" t="s">
        <v>24</v>
      </c>
      <c r="G446" s="1" t="s">
        <v>63</v>
      </c>
      <c r="H446" s="1" t="s">
        <v>398</v>
      </c>
      <c r="I446" s="1" t="s">
        <v>397</v>
      </c>
      <c r="J446" s="1" t="s">
        <v>46</v>
      </c>
      <c r="K446" s="1">
        <v>157</v>
      </c>
      <c r="L446" s="1">
        <v>19055</v>
      </c>
      <c r="M446" s="2">
        <f t="shared" si="104"/>
        <v>2991635</v>
      </c>
      <c r="N446" s="1">
        <v>511569.58</v>
      </c>
      <c r="O446" s="1">
        <f t="shared" si="105"/>
        <v>3503204.58</v>
      </c>
      <c r="P446" s="1">
        <v>5529</v>
      </c>
      <c r="Q446" s="1">
        <f t="shared" si="106"/>
        <v>3497675.58</v>
      </c>
      <c r="R446" s="1">
        <v>1131028</v>
      </c>
      <c r="S446" s="1">
        <f t="shared" si="107"/>
        <v>452411.2</v>
      </c>
      <c r="T446" s="1">
        <f t="shared" si="108"/>
        <v>678616.8</v>
      </c>
      <c r="U446" s="1">
        <v>2262056</v>
      </c>
      <c r="V446" s="1">
        <f t="shared" si="103"/>
        <v>1235619.58</v>
      </c>
      <c r="W446" s="1">
        <v>4.8</v>
      </c>
    </row>
    <row r="447" spans="1:23" x14ac:dyDescent="0.25">
      <c r="A447" s="1" t="s">
        <v>245</v>
      </c>
      <c r="B447" s="1" t="s">
        <v>37</v>
      </c>
      <c r="C447" s="1" t="s">
        <v>408</v>
      </c>
      <c r="D447" s="1" t="s">
        <v>78</v>
      </c>
      <c r="E447" s="1" t="s">
        <v>49</v>
      </c>
      <c r="F447" s="1" t="s">
        <v>24</v>
      </c>
      <c r="G447" s="1" t="s">
        <v>63</v>
      </c>
      <c r="H447" s="1" t="s">
        <v>399</v>
      </c>
      <c r="I447" s="1" t="s">
        <v>397</v>
      </c>
      <c r="J447" s="1" t="s">
        <v>46</v>
      </c>
      <c r="K447" s="1">
        <v>186</v>
      </c>
      <c r="L447" s="1">
        <v>9413</v>
      </c>
      <c r="M447" s="2">
        <f t="shared" si="104"/>
        <v>1750818</v>
      </c>
      <c r="N447" s="1">
        <v>289935.46000000002</v>
      </c>
      <c r="O447" s="1">
        <f t="shared" si="105"/>
        <v>2040753.46</v>
      </c>
      <c r="P447" s="1">
        <v>5148</v>
      </c>
      <c r="Q447" s="1">
        <f t="shared" si="106"/>
        <v>2035605.46</v>
      </c>
      <c r="R447" s="1">
        <v>1015420.5</v>
      </c>
      <c r="S447" s="1">
        <f t="shared" si="107"/>
        <v>270778.8</v>
      </c>
      <c r="T447" s="1">
        <f t="shared" si="108"/>
        <v>67694.699999999953</v>
      </c>
      <c r="U447" s="1">
        <v>1353894</v>
      </c>
      <c r="V447" s="1">
        <f t="shared" si="103"/>
        <v>681711.46</v>
      </c>
      <c r="W447" s="1">
        <v>4.8</v>
      </c>
    </row>
    <row r="448" spans="1:23" x14ac:dyDescent="0.25">
      <c r="A448" s="1" t="s">
        <v>133</v>
      </c>
      <c r="B448" s="1" t="s">
        <v>41</v>
      </c>
      <c r="C448" s="1" t="s">
        <v>408</v>
      </c>
      <c r="D448" s="1" t="s">
        <v>62</v>
      </c>
      <c r="E448" s="1" t="s">
        <v>43</v>
      </c>
      <c r="F448" s="1" t="s">
        <v>59</v>
      </c>
      <c r="G448" s="1" t="s">
        <v>60</v>
      </c>
      <c r="H448" s="1" t="s">
        <v>398</v>
      </c>
      <c r="I448" s="1" t="s">
        <v>397</v>
      </c>
      <c r="J448" s="1" t="s">
        <v>26</v>
      </c>
      <c r="K448" s="1">
        <v>44</v>
      </c>
      <c r="L448" s="1">
        <v>14174</v>
      </c>
      <c r="M448" s="2">
        <f t="shared" si="104"/>
        <v>623656</v>
      </c>
      <c r="N448" s="1">
        <v>103277.43</v>
      </c>
      <c r="O448" s="1">
        <f t="shared" si="105"/>
        <v>726933.42999999993</v>
      </c>
      <c r="P448" s="1">
        <v>9806</v>
      </c>
      <c r="Q448" s="1">
        <f t="shared" si="106"/>
        <v>717127.42999999993</v>
      </c>
      <c r="R448" s="1">
        <f t="shared" ref="R448:R449" si="118">0.7*U448</f>
        <v>305443.59999999998</v>
      </c>
      <c r="S448" s="1">
        <f t="shared" si="107"/>
        <v>87269.6</v>
      </c>
      <c r="T448" s="1">
        <f t="shared" si="108"/>
        <v>43634.800000000047</v>
      </c>
      <c r="U448" s="1">
        <v>436348</v>
      </c>
      <c r="V448" s="1">
        <f t="shared" si="103"/>
        <v>280779.42999999993</v>
      </c>
      <c r="W448" s="1">
        <v>3.7</v>
      </c>
    </row>
    <row r="449" spans="1:23" x14ac:dyDescent="0.25">
      <c r="A449" s="1" t="s">
        <v>317</v>
      </c>
      <c r="B449" s="1" t="s">
        <v>51</v>
      </c>
      <c r="C449" s="1" t="s">
        <v>408</v>
      </c>
      <c r="D449" s="1" t="s">
        <v>55</v>
      </c>
      <c r="E449" s="1" t="s">
        <v>56</v>
      </c>
      <c r="F449" s="1" t="s">
        <v>59</v>
      </c>
      <c r="G449" s="1" t="s">
        <v>85</v>
      </c>
      <c r="H449" s="1" t="s">
        <v>399</v>
      </c>
      <c r="I449" s="1" t="s">
        <v>396</v>
      </c>
      <c r="J449" s="1" t="s">
        <v>46</v>
      </c>
      <c r="K449" s="1">
        <v>74</v>
      </c>
      <c r="L449" s="1">
        <v>11877</v>
      </c>
      <c r="M449" s="2">
        <f t="shared" si="104"/>
        <v>878898</v>
      </c>
      <c r="N449" s="1">
        <v>158201.64000000001</v>
      </c>
      <c r="O449" s="1">
        <f t="shared" si="105"/>
        <v>1037099.64</v>
      </c>
      <c r="P449" s="1">
        <v>6078</v>
      </c>
      <c r="Q449" s="1">
        <f t="shared" si="106"/>
        <v>1031021.64</v>
      </c>
      <c r="R449" s="1">
        <f t="shared" si="118"/>
        <v>478424.8</v>
      </c>
      <c r="S449" s="1">
        <f t="shared" si="107"/>
        <v>136692.80000000002</v>
      </c>
      <c r="T449" s="1">
        <f t="shared" si="108"/>
        <v>68346.399999999965</v>
      </c>
      <c r="U449" s="1">
        <v>683464</v>
      </c>
      <c r="V449" s="1">
        <f t="shared" si="103"/>
        <v>347557.64</v>
      </c>
      <c r="W449" s="1">
        <v>4.7</v>
      </c>
    </row>
    <row r="450" spans="1:23" x14ac:dyDescent="0.25">
      <c r="A450" s="1" t="s">
        <v>95</v>
      </c>
      <c r="B450" s="1" t="s">
        <v>21</v>
      </c>
      <c r="C450" s="1" t="s">
        <v>408</v>
      </c>
      <c r="D450" s="1" t="s">
        <v>48</v>
      </c>
      <c r="E450" s="1" t="s">
        <v>49</v>
      </c>
      <c r="F450" s="1" t="s">
        <v>17</v>
      </c>
      <c r="G450" s="1" t="s">
        <v>75</v>
      </c>
      <c r="H450" s="1" t="s">
        <v>399</v>
      </c>
      <c r="I450" s="1" t="s">
        <v>19</v>
      </c>
      <c r="J450" s="1" t="s">
        <v>46</v>
      </c>
      <c r="K450" s="1">
        <v>109</v>
      </c>
      <c r="L450" s="1">
        <v>21013</v>
      </c>
      <c r="M450" s="2">
        <f t="shared" si="104"/>
        <v>2290417</v>
      </c>
      <c r="N450" s="1">
        <v>379293.06</v>
      </c>
      <c r="O450" s="1">
        <f t="shared" si="105"/>
        <v>2669710.06</v>
      </c>
      <c r="P450" s="1">
        <v>9016</v>
      </c>
      <c r="Q450" s="1">
        <f t="shared" si="106"/>
        <v>2660694.06</v>
      </c>
      <c r="R450" s="1">
        <f>0.62*U450</f>
        <v>1031811.44</v>
      </c>
      <c r="S450" s="1">
        <f>U450*0.2</f>
        <v>332842.40000000002</v>
      </c>
      <c r="T450" s="1">
        <f t="shared" si="108"/>
        <v>299558.16000000015</v>
      </c>
      <c r="U450" s="1">
        <v>1664212</v>
      </c>
      <c r="V450" s="1">
        <f t="shared" si="103"/>
        <v>996482.06</v>
      </c>
      <c r="W450" s="1">
        <v>4.8</v>
      </c>
    </row>
    <row r="451" spans="1:23" x14ac:dyDescent="0.25">
      <c r="A451" s="1" t="s">
        <v>126</v>
      </c>
      <c r="B451" s="1" t="s">
        <v>69</v>
      </c>
      <c r="C451" s="1" t="s">
        <v>408</v>
      </c>
      <c r="D451" s="1" t="s">
        <v>42</v>
      </c>
      <c r="E451" s="1" t="s">
        <v>43</v>
      </c>
      <c r="F451" s="1" t="s">
        <v>59</v>
      </c>
      <c r="G451" s="1" t="s">
        <v>60</v>
      </c>
      <c r="H451" s="1" t="s">
        <v>399</v>
      </c>
      <c r="I451" s="1" t="s">
        <v>39</v>
      </c>
      <c r="J451" s="1" t="s">
        <v>46</v>
      </c>
      <c r="K451" s="1">
        <v>56</v>
      </c>
      <c r="L451" s="1">
        <v>29531</v>
      </c>
      <c r="M451" s="2">
        <f t="shared" si="104"/>
        <v>1653736</v>
      </c>
      <c r="N451" s="1">
        <v>282788.86</v>
      </c>
      <c r="O451" s="1">
        <f t="shared" si="105"/>
        <v>1936524.8599999999</v>
      </c>
      <c r="P451" s="1">
        <v>6827</v>
      </c>
      <c r="Q451" s="1">
        <f t="shared" si="106"/>
        <v>1929697.8599999999</v>
      </c>
      <c r="R451" s="1">
        <f t="shared" ref="R451:R452" si="119">0.7*U451</f>
        <v>945072.79999999993</v>
      </c>
      <c r="S451" s="1">
        <f t="shared" si="107"/>
        <v>270020.8</v>
      </c>
      <c r="T451" s="1">
        <f t="shared" si="108"/>
        <v>135010.40000000002</v>
      </c>
      <c r="U451" s="1">
        <v>1350104</v>
      </c>
      <c r="V451" s="1">
        <f t="shared" si="103"/>
        <v>579593.85999999987</v>
      </c>
      <c r="W451" s="1">
        <v>4.8</v>
      </c>
    </row>
    <row r="452" spans="1:23" x14ac:dyDescent="0.25">
      <c r="A452" s="1" t="s">
        <v>180</v>
      </c>
      <c r="B452" s="1" t="s">
        <v>69</v>
      </c>
      <c r="C452" s="1" t="s">
        <v>408</v>
      </c>
      <c r="D452" s="1" t="s">
        <v>52</v>
      </c>
      <c r="E452" s="1" t="s">
        <v>23</v>
      </c>
      <c r="F452" s="1" t="s">
        <v>59</v>
      </c>
      <c r="G452" s="1" t="s">
        <v>121</v>
      </c>
      <c r="H452" s="1" t="s">
        <v>399</v>
      </c>
      <c r="I452" s="1" t="s">
        <v>39</v>
      </c>
      <c r="J452" s="1" t="s">
        <v>46</v>
      </c>
      <c r="K452" s="1">
        <v>43</v>
      </c>
      <c r="L452" s="1">
        <v>31665</v>
      </c>
      <c r="M452" s="2">
        <f t="shared" si="104"/>
        <v>1361595</v>
      </c>
      <c r="N452" s="1">
        <v>245087.1</v>
      </c>
      <c r="O452" s="1">
        <f t="shared" si="105"/>
        <v>1606682.1</v>
      </c>
      <c r="P452" s="1">
        <v>6726</v>
      </c>
      <c r="Q452" s="1">
        <f t="shared" si="106"/>
        <v>1599956.1</v>
      </c>
      <c r="R452" s="1">
        <f t="shared" si="119"/>
        <v>738443.29999999993</v>
      </c>
      <c r="S452" s="1">
        <f t="shared" si="107"/>
        <v>210983.80000000002</v>
      </c>
      <c r="T452" s="1">
        <f t="shared" si="108"/>
        <v>105491.90000000002</v>
      </c>
      <c r="U452" s="1">
        <v>1054919</v>
      </c>
      <c r="V452" s="1">
        <f t="shared" ref="V452:V515" si="120">Q452-U452</f>
        <v>545037.10000000009</v>
      </c>
      <c r="W452" s="1">
        <v>4.8</v>
      </c>
    </row>
    <row r="453" spans="1:23" x14ac:dyDescent="0.25">
      <c r="A453" s="1" t="s">
        <v>157</v>
      </c>
      <c r="B453" s="1" t="s">
        <v>109</v>
      </c>
      <c r="C453" s="1" t="s">
        <v>408</v>
      </c>
      <c r="D453" s="1" t="s">
        <v>62</v>
      </c>
      <c r="E453" s="1" t="s">
        <v>43</v>
      </c>
      <c r="F453" s="1" t="s">
        <v>29</v>
      </c>
      <c r="G453" s="1" t="s">
        <v>91</v>
      </c>
      <c r="H453" s="1" t="s">
        <v>398</v>
      </c>
      <c r="I453" s="1" t="s">
        <v>39</v>
      </c>
      <c r="J453" s="1" t="s">
        <v>46</v>
      </c>
      <c r="K453" s="1">
        <v>12</v>
      </c>
      <c r="L453" s="1">
        <v>2702</v>
      </c>
      <c r="M453" s="2">
        <f t="shared" ref="M453:M516" si="121">K453*L453</f>
        <v>32424</v>
      </c>
      <c r="N453" s="1">
        <v>5135.96</v>
      </c>
      <c r="O453" s="1">
        <f t="shared" ref="O453:O516" si="122">M453+N453</f>
        <v>37559.96</v>
      </c>
      <c r="P453" s="1">
        <v>5219</v>
      </c>
      <c r="Q453" s="1">
        <f t="shared" ref="Q453:Q516" si="123">O453-P453</f>
        <v>32340.959999999999</v>
      </c>
      <c r="R453" s="1">
        <v>18612</v>
      </c>
      <c r="S453" s="1">
        <f>U453*0.1</f>
        <v>2481.6000000000004</v>
      </c>
      <c r="T453" s="1">
        <f t="shared" ref="T453:T516" si="124">U453-S453-R453</f>
        <v>3722.4000000000015</v>
      </c>
      <c r="U453" s="1">
        <v>24816</v>
      </c>
      <c r="V453" s="1">
        <f t="shared" si="120"/>
        <v>7524.9599999999991</v>
      </c>
      <c r="W453" s="1">
        <v>4.8</v>
      </c>
    </row>
    <row r="454" spans="1:23" x14ac:dyDescent="0.25">
      <c r="A454" s="1" t="s">
        <v>198</v>
      </c>
      <c r="B454" s="1" t="s">
        <v>69</v>
      </c>
      <c r="C454" s="1" t="s">
        <v>408</v>
      </c>
      <c r="D454" s="1" t="s">
        <v>42</v>
      </c>
      <c r="E454" s="1" t="s">
        <v>43</v>
      </c>
      <c r="F454" s="1" t="s">
        <v>17</v>
      </c>
      <c r="G454" s="1" t="s">
        <v>75</v>
      </c>
      <c r="H454" s="1" t="s">
        <v>399</v>
      </c>
      <c r="I454" s="1" t="s">
        <v>395</v>
      </c>
      <c r="J454" s="1" t="s">
        <v>46</v>
      </c>
      <c r="K454" s="1">
        <v>170</v>
      </c>
      <c r="L454" s="1">
        <v>1232</v>
      </c>
      <c r="M454" s="2">
        <f t="shared" si="121"/>
        <v>209440</v>
      </c>
      <c r="N454" s="1">
        <v>33175.300000000003</v>
      </c>
      <c r="O454" s="1">
        <f t="shared" si="122"/>
        <v>242615.3</v>
      </c>
      <c r="P454" s="1">
        <v>5949</v>
      </c>
      <c r="Q454" s="1">
        <f t="shared" si="123"/>
        <v>236666.3</v>
      </c>
      <c r="R454" s="1">
        <f>0.62*U454</f>
        <v>97178.8</v>
      </c>
      <c r="S454" s="1">
        <f>U454*0.2</f>
        <v>31348</v>
      </c>
      <c r="T454" s="1">
        <f t="shared" si="124"/>
        <v>28213.199999999997</v>
      </c>
      <c r="U454" s="1">
        <v>156740</v>
      </c>
      <c r="V454" s="1">
        <f t="shared" si="120"/>
        <v>79926.299999999988</v>
      </c>
      <c r="W454" s="1">
        <v>4</v>
      </c>
    </row>
    <row r="455" spans="1:23" x14ac:dyDescent="0.25">
      <c r="A455" s="1" t="s">
        <v>318</v>
      </c>
      <c r="B455" s="1" t="s">
        <v>77</v>
      </c>
      <c r="C455" s="1" t="s">
        <v>408</v>
      </c>
      <c r="D455" s="1" t="s">
        <v>15</v>
      </c>
      <c r="E455" s="1" t="s">
        <v>16</v>
      </c>
      <c r="F455" s="1" t="s">
        <v>29</v>
      </c>
      <c r="G455" s="1" t="s">
        <v>97</v>
      </c>
      <c r="H455" s="1" t="s">
        <v>398</v>
      </c>
      <c r="I455" s="1" t="s">
        <v>39</v>
      </c>
      <c r="J455" s="1" t="s">
        <v>26</v>
      </c>
      <c r="K455" s="1">
        <v>137</v>
      </c>
      <c r="L455" s="1">
        <v>23103</v>
      </c>
      <c r="M455" s="2">
        <f t="shared" si="121"/>
        <v>3165111</v>
      </c>
      <c r="N455" s="1">
        <v>541233.98</v>
      </c>
      <c r="O455" s="1">
        <f t="shared" si="122"/>
        <v>3706344.98</v>
      </c>
      <c r="P455" s="1">
        <v>9394</v>
      </c>
      <c r="Q455" s="1">
        <f t="shared" si="123"/>
        <v>3696950.98</v>
      </c>
      <c r="R455" s="1">
        <v>1057777</v>
      </c>
      <c r="S455" s="1">
        <f>U455*0.1</f>
        <v>211555.40000000002</v>
      </c>
      <c r="T455" s="1">
        <f t="shared" si="124"/>
        <v>846221.60000000009</v>
      </c>
      <c r="U455" s="1">
        <v>2115554</v>
      </c>
      <c r="V455" s="1">
        <f t="shared" si="120"/>
        <v>1581396.98</v>
      </c>
      <c r="W455" s="1">
        <v>4</v>
      </c>
    </row>
    <row r="456" spans="1:23" x14ac:dyDescent="0.25">
      <c r="A456" s="1" t="s">
        <v>151</v>
      </c>
      <c r="B456" s="1" t="s">
        <v>58</v>
      </c>
      <c r="C456" s="1" t="s">
        <v>408</v>
      </c>
      <c r="D456" s="1" t="s">
        <v>48</v>
      </c>
      <c r="E456" s="1" t="s">
        <v>49</v>
      </c>
      <c r="F456" s="1" t="s">
        <v>24</v>
      </c>
      <c r="G456" s="1" t="s">
        <v>63</v>
      </c>
      <c r="H456" s="1" t="s">
        <v>398</v>
      </c>
      <c r="I456" s="1" t="s">
        <v>396</v>
      </c>
      <c r="J456" s="1" t="s">
        <v>26</v>
      </c>
      <c r="K456" s="1">
        <v>119</v>
      </c>
      <c r="L456" s="1">
        <v>3273</v>
      </c>
      <c r="M456" s="2">
        <f t="shared" si="121"/>
        <v>389487</v>
      </c>
      <c r="N456" s="1">
        <v>66602.28</v>
      </c>
      <c r="O456" s="1">
        <f t="shared" si="122"/>
        <v>456089.28</v>
      </c>
      <c r="P456" s="1">
        <v>5929</v>
      </c>
      <c r="Q456" s="1">
        <f t="shared" si="123"/>
        <v>450160.28</v>
      </c>
      <c r="R456" s="1">
        <v>230443.5</v>
      </c>
      <c r="S456" s="1">
        <f t="shared" ref="S456:S516" si="125">U456*0.2</f>
        <v>61451.600000000006</v>
      </c>
      <c r="T456" s="1">
        <f t="shared" si="124"/>
        <v>15362.899999999994</v>
      </c>
      <c r="U456" s="1">
        <v>307258</v>
      </c>
      <c r="V456" s="1">
        <f t="shared" si="120"/>
        <v>142902.28000000003</v>
      </c>
      <c r="W456" s="1">
        <v>4.7</v>
      </c>
    </row>
    <row r="457" spans="1:23" x14ac:dyDescent="0.25">
      <c r="A457" s="1" t="s">
        <v>71</v>
      </c>
      <c r="B457" s="1" t="s">
        <v>41</v>
      </c>
      <c r="C457" s="1" t="s">
        <v>408</v>
      </c>
      <c r="D457" s="1" t="s">
        <v>15</v>
      </c>
      <c r="E457" s="1" t="s">
        <v>16</v>
      </c>
      <c r="F457" s="1" t="s">
        <v>17</v>
      </c>
      <c r="G457" s="1" t="s">
        <v>72</v>
      </c>
      <c r="H457" s="1" t="s">
        <v>398</v>
      </c>
      <c r="I457" s="1" t="s">
        <v>397</v>
      </c>
      <c r="J457" s="1" t="s">
        <v>26</v>
      </c>
      <c r="K457" s="1">
        <v>176</v>
      </c>
      <c r="L457" s="1">
        <v>5233</v>
      </c>
      <c r="M457" s="2">
        <f t="shared" si="121"/>
        <v>921008</v>
      </c>
      <c r="N457" s="1">
        <v>157492.37</v>
      </c>
      <c r="O457" s="1">
        <f t="shared" si="122"/>
        <v>1078500.3700000001</v>
      </c>
      <c r="P457" s="1">
        <v>9086</v>
      </c>
      <c r="Q457" s="1">
        <f t="shared" si="123"/>
        <v>1069414.3700000001</v>
      </c>
      <c r="R457" s="1">
        <f>0.62*U457</f>
        <v>446191.68</v>
      </c>
      <c r="S457" s="1">
        <f>U457*0.2</f>
        <v>143932.80000000002</v>
      </c>
      <c r="T457" s="1">
        <f t="shared" si="124"/>
        <v>129539.51999999996</v>
      </c>
      <c r="U457" s="1">
        <v>719664</v>
      </c>
      <c r="V457" s="1">
        <f t="shared" si="120"/>
        <v>349750.37000000011</v>
      </c>
      <c r="W457" s="1">
        <v>4.3</v>
      </c>
    </row>
    <row r="458" spans="1:23" x14ac:dyDescent="0.25">
      <c r="A458" s="1" t="s">
        <v>319</v>
      </c>
      <c r="B458" s="1" t="s">
        <v>21</v>
      </c>
      <c r="C458" s="1" t="s">
        <v>408</v>
      </c>
      <c r="D458" s="1" t="s">
        <v>22</v>
      </c>
      <c r="E458" s="1" t="s">
        <v>23</v>
      </c>
      <c r="F458" s="1" t="s">
        <v>59</v>
      </c>
      <c r="G458" s="1" t="s">
        <v>60</v>
      </c>
      <c r="H458" s="1" t="s">
        <v>398</v>
      </c>
      <c r="I458" s="1" t="s">
        <v>19</v>
      </c>
      <c r="J458" s="1" t="s">
        <v>46</v>
      </c>
      <c r="K458" s="1">
        <v>13</v>
      </c>
      <c r="L458" s="1">
        <v>8477</v>
      </c>
      <c r="M458" s="2">
        <f t="shared" si="121"/>
        <v>110201</v>
      </c>
      <c r="N458" s="1">
        <v>18249.29</v>
      </c>
      <c r="O458" s="1">
        <f t="shared" si="122"/>
        <v>128450.29000000001</v>
      </c>
      <c r="P458" s="1">
        <v>8447</v>
      </c>
      <c r="Q458" s="1">
        <f t="shared" si="123"/>
        <v>120003.29000000001</v>
      </c>
      <c r="R458" s="1">
        <f>0.7*U458</f>
        <v>62134.799999999996</v>
      </c>
      <c r="S458" s="1">
        <f t="shared" si="125"/>
        <v>17752.8</v>
      </c>
      <c r="T458" s="1">
        <f t="shared" si="124"/>
        <v>8876.4000000000015</v>
      </c>
      <c r="U458" s="1">
        <v>88764</v>
      </c>
      <c r="V458" s="1">
        <f t="shared" si="120"/>
        <v>31239.290000000008</v>
      </c>
      <c r="W458" s="1">
        <v>4.9000000000000004</v>
      </c>
    </row>
    <row r="459" spans="1:23" x14ac:dyDescent="0.25">
      <c r="A459" s="1" t="s">
        <v>274</v>
      </c>
      <c r="B459" s="1" t="s">
        <v>77</v>
      </c>
      <c r="C459" s="1" t="s">
        <v>408</v>
      </c>
      <c r="D459" s="1" t="s">
        <v>52</v>
      </c>
      <c r="E459" s="1" t="s">
        <v>23</v>
      </c>
      <c r="F459" s="1" t="s">
        <v>17</v>
      </c>
      <c r="G459" s="1" t="s">
        <v>72</v>
      </c>
      <c r="H459" s="1" t="s">
        <v>398</v>
      </c>
      <c r="I459" s="1" t="s">
        <v>395</v>
      </c>
      <c r="J459" s="1" t="s">
        <v>46</v>
      </c>
      <c r="K459" s="1">
        <v>180</v>
      </c>
      <c r="L459" s="1">
        <v>15761</v>
      </c>
      <c r="M459" s="2">
        <f t="shared" si="121"/>
        <v>2836980</v>
      </c>
      <c r="N459" s="1">
        <v>485123.58</v>
      </c>
      <c r="O459" s="1">
        <f t="shared" si="122"/>
        <v>3322103.58</v>
      </c>
      <c r="P459" s="1">
        <v>8602</v>
      </c>
      <c r="Q459" s="1">
        <f t="shared" si="123"/>
        <v>3313501.58</v>
      </c>
      <c r="R459" s="1">
        <f>0.62*U459</f>
        <v>1380045.6</v>
      </c>
      <c r="S459" s="1">
        <f>U459*0.2</f>
        <v>445176</v>
      </c>
      <c r="T459" s="1">
        <f t="shared" si="124"/>
        <v>400658.39999999991</v>
      </c>
      <c r="U459" s="1">
        <v>2225880</v>
      </c>
      <c r="V459" s="1">
        <f t="shared" si="120"/>
        <v>1087621.58</v>
      </c>
      <c r="W459" s="1">
        <v>4</v>
      </c>
    </row>
    <row r="460" spans="1:23" x14ac:dyDescent="0.25">
      <c r="A460" s="1" t="s">
        <v>182</v>
      </c>
      <c r="B460" s="1" t="s">
        <v>51</v>
      </c>
      <c r="C460" s="1" t="s">
        <v>408</v>
      </c>
      <c r="D460" s="1" t="s">
        <v>62</v>
      </c>
      <c r="E460" s="1" t="s">
        <v>43</v>
      </c>
      <c r="F460" s="1" t="s">
        <v>29</v>
      </c>
      <c r="G460" s="1" t="s">
        <v>87</v>
      </c>
      <c r="H460" s="1" t="s">
        <v>399</v>
      </c>
      <c r="I460" s="1" t="s">
        <v>19</v>
      </c>
      <c r="J460" s="1" t="s">
        <v>46</v>
      </c>
      <c r="K460" s="1">
        <v>156</v>
      </c>
      <c r="L460" s="1">
        <v>23593</v>
      </c>
      <c r="M460" s="2">
        <f t="shared" si="121"/>
        <v>3680508</v>
      </c>
      <c r="N460" s="1">
        <v>563117.72</v>
      </c>
      <c r="O460" s="1">
        <f t="shared" si="122"/>
        <v>4243625.72</v>
      </c>
      <c r="P460" s="1">
        <v>9481</v>
      </c>
      <c r="Q460" s="1">
        <f t="shared" si="123"/>
        <v>4234144.72</v>
      </c>
      <c r="R460" s="1">
        <v>630435</v>
      </c>
      <c r="S460" s="1">
        <f>U460*0.1</f>
        <v>252174</v>
      </c>
      <c r="T460" s="1">
        <f t="shared" si="124"/>
        <v>1639131</v>
      </c>
      <c r="U460" s="1">
        <v>2521740</v>
      </c>
      <c r="V460" s="1">
        <f t="shared" si="120"/>
        <v>1712404.7199999997</v>
      </c>
      <c r="W460" s="1">
        <v>4.9000000000000004</v>
      </c>
    </row>
    <row r="461" spans="1:23" x14ac:dyDescent="0.25">
      <c r="A461" s="1" t="s">
        <v>115</v>
      </c>
      <c r="B461" s="1" t="s">
        <v>77</v>
      </c>
      <c r="C461" s="1" t="s">
        <v>408</v>
      </c>
      <c r="D461" s="1" t="s">
        <v>62</v>
      </c>
      <c r="E461" s="1" t="s">
        <v>43</v>
      </c>
      <c r="F461" s="1" t="s">
        <v>17</v>
      </c>
      <c r="G461" s="1" t="s">
        <v>35</v>
      </c>
      <c r="H461" s="1" t="s">
        <v>398</v>
      </c>
      <c r="I461" s="1" t="s">
        <v>396</v>
      </c>
      <c r="J461" s="1" t="s">
        <v>26</v>
      </c>
      <c r="K461" s="1">
        <v>143</v>
      </c>
      <c r="L461" s="1">
        <v>7444</v>
      </c>
      <c r="M461" s="2">
        <f t="shared" si="121"/>
        <v>1064492</v>
      </c>
      <c r="N461" s="1">
        <v>176279.88</v>
      </c>
      <c r="O461" s="1">
        <f t="shared" si="122"/>
        <v>1240771.8799999999</v>
      </c>
      <c r="P461" s="1">
        <v>8525</v>
      </c>
      <c r="Q461" s="1">
        <f t="shared" si="123"/>
        <v>1232246.8799999999</v>
      </c>
      <c r="R461" s="1">
        <f>0.62*U461</f>
        <v>424592.74</v>
      </c>
      <c r="S461" s="1">
        <f>U461*0.2</f>
        <v>136965.4</v>
      </c>
      <c r="T461" s="1">
        <f t="shared" si="124"/>
        <v>123268.85999999999</v>
      </c>
      <c r="U461" s="1">
        <v>684827</v>
      </c>
      <c r="V461" s="1">
        <f t="shared" si="120"/>
        <v>547419.87999999989</v>
      </c>
      <c r="W461" s="1">
        <v>4.8</v>
      </c>
    </row>
    <row r="462" spans="1:23" x14ac:dyDescent="0.25">
      <c r="A462" s="1" t="s">
        <v>313</v>
      </c>
      <c r="B462" s="1" t="s">
        <v>28</v>
      </c>
      <c r="C462" s="1" t="s">
        <v>408</v>
      </c>
      <c r="D462" s="1" t="s">
        <v>15</v>
      </c>
      <c r="E462" s="1" t="s">
        <v>16</v>
      </c>
      <c r="F462" s="1" t="s">
        <v>24</v>
      </c>
      <c r="G462" s="1" t="s">
        <v>143</v>
      </c>
      <c r="H462" s="1" t="s">
        <v>398</v>
      </c>
      <c r="I462" s="1" t="s">
        <v>397</v>
      </c>
      <c r="J462" s="1" t="s">
        <v>26</v>
      </c>
      <c r="K462" s="1">
        <v>60</v>
      </c>
      <c r="L462" s="1">
        <v>8098</v>
      </c>
      <c r="M462" s="2">
        <f t="shared" si="121"/>
        <v>485880</v>
      </c>
      <c r="N462" s="1">
        <v>87458.4</v>
      </c>
      <c r="O462" s="1">
        <f t="shared" si="122"/>
        <v>573338.4</v>
      </c>
      <c r="P462" s="1">
        <v>8175</v>
      </c>
      <c r="Q462" s="1">
        <f t="shared" si="123"/>
        <v>565163.4</v>
      </c>
      <c r="R462" s="1">
        <v>264420</v>
      </c>
      <c r="S462" s="1">
        <f t="shared" si="125"/>
        <v>70512</v>
      </c>
      <c r="T462" s="1">
        <f t="shared" si="124"/>
        <v>17628</v>
      </c>
      <c r="U462" s="1">
        <v>352560</v>
      </c>
      <c r="V462" s="1">
        <f t="shared" si="120"/>
        <v>212603.40000000002</v>
      </c>
      <c r="W462" s="1">
        <v>3.5</v>
      </c>
    </row>
    <row r="463" spans="1:23" x14ac:dyDescent="0.25">
      <c r="A463" s="1" t="s">
        <v>98</v>
      </c>
      <c r="B463" s="1" t="s">
        <v>109</v>
      </c>
      <c r="C463" s="1" t="s">
        <v>408</v>
      </c>
      <c r="D463" s="1" t="s">
        <v>42</v>
      </c>
      <c r="E463" s="1" t="s">
        <v>43</v>
      </c>
      <c r="F463" s="1" t="s">
        <v>24</v>
      </c>
      <c r="G463" s="1" t="s">
        <v>44</v>
      </c>
      <c r="H463" s="1" t="s">
        <v>398</v>
      </c>
      <c r="I463" s="1" t="s">
        <v>19</v>
      </c>
      <c r="J463" s="1" t="s">
        <v>46</v>
      </c>
      <c r="K463" s="1">
        <v>142</v>
      </c>
      <c r="L463" s="1">
        <v>9857</v>
      </c>
      <c r="M463" s="2">
        <f t="shared" si="121"/>
        <v>1399694</v>
      </c>
      <c r="N463" s="1">
        <v>221711.53</v>
      </c>
      <c r="O463" s="1">
        <f t="shared" si="122"/>
        <v>1621405.53</v>
      </c>
      <c r="P463" s="1">
        <v>8211</v>
      </c>
      <c r="Q463" s="1">
        <f t="shared" si="123"/>
        <v>1613194.53</v>
      </c>
      <c r="R463" s="1">
        <v>726330</v>
      </c>
      <c r="S463" s="1">
        <f t="shared" si="125"/>
        <v>193688</v>
      </c>
      <c r="T463" s="1">
        <f t="shared" si="124"/>
        <v>48422</v>
      </c>
      <c r="U463" s="1">
        <v>968440</v>
      </c>
      <c r="V463" s="1">
        <f t="shared" si="120"/>
        <v>644754.53</v>
      </c>
      <c r="W463" s="1">
        <v>3.8</v>
      </c>
    </row>
    <row r="464" spans="1:23" x14ac:dyDescent="0.25">
      <c r="A464" s="1" t="s">
        <v>229</v>
      </c>
      <c r="B464" s="1" t="s">
        <v>34</v>
      </c>
      <c r="C464" s="1" t="s">
        <v>408</v>
      </c>
      <c r="D464" s="1" t="s">
        <v>55</v>
      </c>
      <c r="E464" s="1" t="s">
        <v>56</v>
      </c>
      <c r="F464" s="1" t="s">
        <v>29</v>
      </c>
      <c r="G464" s="1" t="s">
        <v>87</v>
      </c>
      <c r="H464" s="1" t="s">
        <v>398</v>
      </c>
      <c r="I464" s="1" t="s">
        <v>395</v>
      </c>
      <c r="J464" s="1" t="s">
        <v>46</v>
      </c>
      <c r="K464" s="1">
        <v>26</v>
      </c>
      <c r="L464" s="1">
        <v>27925</v>
      </c>
      <c r="M464" s="2">
        <f t="shared" si="121"/>
        <v>726050</v>
      </c>
      <c r="N464" s="1">
        <v>130689</v>
      </c>
      <c r="O464" s="1">
        <f t="shared" si="122"/>
        <v>856739</v>
      </c>
      <c r="P464" s="1">
        <v>9764</v>
      </c>
      <c r="Q464" s="1">
        <f t="shared" si="123"/>
        <v>846975</v>
      </c>
      <c r="R464" s="1">
        <v>443859</v>
      </c>
      <c r="S464" s="1">
        <f t="shared" ref="S464:S465" si="126">U464*0.1</f>
        <v>59181.200000000004</v>
      </c>
      <c r="T464" s="1">
        <f t="shared" si="124"/>
        <v>88771.800000000047</v>
      </c>
      <c r="U464" s="1">
        <v>591812</v>
      </c>
      <c r="V464" s="1">
        <f t="shared" si="120"/>
        <v>255163</v>
      </c>
      <c r="W464" s="1">
        <v>5</v>
      </c>
    </row>
    <row r="465" spans="1:23" x14ac:dyDescent="0.25">
      <c r="A465" s="1" t="s">
        <v>282</v>
      </c>
      <c r="B465" s="1" t="s">
        <v>32</v>
      </c>
      <c r="C465" s="1" t="s">
        <v>408</v>
      </c>
      <c r="D465" s="1" t="s">
        <v>52</v>
      </c>
      <c r="E465" s="1" t="s">
        <v>23</v>
      </c>
      <c r="F465" s="1" t="s">
        <v>29</v>
      </c>
      <c r="G465" s="1" t="s">
        <v>53</v>
      </c>
      <c r="H465" s="1" t="s">
        <v>399</v>
      </c>
      <c r="I465" s="1" t="s">
        <v>19</v>
      </c>
      <c r="J465" s="1" t="s">
        <v>46</v>
      </c>
      <c r="K465" s="1">
        <v>137</v>
      </c>
      <c r="L465" s="1">
        <v>3292</v>
      </c>
      <c r="M465" s="2">
        <f t="shared" si="121"/>
        <v>451004</v>
      </c>
      <c r="N465" s="1">
        <v>74686.259999999995</v>
      </c>
      <c r="O465" s="1">
        <f t="shared" si="122"/>
        <v>525690.26</v>
      </c>
      <c r="P465" s="1">
        <v>5468</v>
      </c>
      <c r="Q465" s="1">
        <f t="shared" si="123"/>
        <v>520222.26</v>
      </c>
      <c r="R465" s="1">
        <v>81480.75</v>
      </c>
      <c r="S465" s="1">
        <f t="shared" si="126"/>
        <v>32592.300000000003</v>
      </c>
      <c r="T465" s="1">
        <f t="shared" si="124"/>
        <v>211849.95</v>
      </c>
      <c r="U465" s="1">
        <v>325923</v>
      </c>
      <c r="V465" s="1">
        <f t="shared" si="120"/>
        <v>194299.26</v>
      </c>
      <c r="W465" s="1">
        <v>4.4000000000000004</v>
      </c>
    </row>
    <row r="466" spans="1:23" x14ac:dyDescent="0.25">
      <c r="A466" s="1" t="s">
        <v>265</v>
      </c>
      <c r="B466" s="1" t="s">
        <v>14</v>
      </c>
      <c r="C466" s="1" t="s">
        <v>408</v>
      </c>
      <c r="D466" s="1" t="s">
        <v>22</v>
      </c>
      <c r="E466" s="1" t="s">
        <v>23</v>
      </c>
      <c r="F466" s="1" t="s">
        <v>59</v>
      </c>
      <c r="G466" s="1" t="s">
        <v>121</v>
      </c>
      <c r="H466" s="1" t="s">
        <v>399</v>
      </c>
      <c r="I466" s="1" t="s">
        <v>39</v>
      </c>
      <c r="J466" s="1" t="s">
        <v>26</v>
      </c>
      <c r="K466" s="1">
        <v>33</v>
      </c>
      <c r="L466" s="1">
        <v>35866</v>
      </c>
      <c r="M466" s="2">
        <f t="shared" si="121"/>
        <v>1183578</v>
      </c>
      <c r="N466" s="1">
        <v>187478.76</v>
      </c>
      <c r="O466" s="1">
        <f t="shared" si="122"/>
        <v>1371056.76</v>
      </c>
      <c r="P466" s="1">
        <v>6227</v>
      </c>
      <c r="Q466" s="1">
        <f t="shared" si="123"/>
        <v>1364829.76</v>
      </c>
      <c r="R466" s="1">
        <f>0.7*U466</f>
        <v>562069.19999999995</v>
      </c>
      <c r="S466" s="1">
        <f t="shared" si="125"/>
        <v>160591.20000000001</v>
      </c>
      <c r="T466" s="1">
        <f t="shared" si="124"/>
        <v>80295.600000000093</v>
      </c>
      <c r="U466" s="1">
        <v>802956</v>
      </c>
      <c r="V466" s="1">
        <f t="shared" si="120"/>
        <v>561873.76</v>
      </c>
      <c r="W466" s="1">
        <v>4.3</v>
      </c>
    </row>
    <row r="467" spans="1:23" x14ac:dyDescent="0.25">
      <c r="A467" s="1" t="s">
        <v>267</v>
      </c>
      <c r="B467" s="1" t="s">
        <v>51</v>
      </c>
      <c r="C467" s="1" t="s">
        <v>408</v>
      </c>
      <c r="D467" s="1" t="s">
        <v>74</v>
      </c>
      <c r="E467" s="1" t="s">
        <v>56</v>
      </c>
      <c r="F467" s="1" t="s">
        <v>29</v>
      </c>
      <c r="G467" s="1" t="s">
        <v>87</v>
      </c>
      <c r="H467" s="1" t="s">
        <v>398</v>
      </c>
      <c r="I467" s="1" t="s">
        <v>397</v>
      </c>
      <c r="J467" s="1" t="s">
        <v>26</v>
      </c>
      <c r="K467" s="1">
        <v>100</v>
      </c>
      <c r="L467" s="1">
        <v>12382</v>
      </c>
      <c r="M467" s="2">
        <f t="shared" si="121"/>
        <v>1238200</v>
      </c>
      <c r="N467" s="1">
        <v>196130.88</v>
      </c>
      <c r="O467" s="1">
        <f t="shared" si="122"/>
        <v>1434330.88</v>
      </c>
      <c r="P467" s="1">
        <v>7083</v>
      </c>
      <c r="Q467" s="1">
        <f t="shared" si="123"/>
        <v>1427247.88</v>
      </c>
      <c r="R467" s="1">
        <v>402450</v>
      </c>
      <c r="S467" s="1">
        <f>U467*0.1</f>
        <v>80490</v>
      </c>
      <c r="T467" s="1">
        <f t="shared" si="124"/>
        <v>321960</v>
      </c>
      <c r="U467" s="1">
        <v>804900</v>
      </c>
      <c r="V467" s="1">
        <f t="shared" si="120"/>
        <v>622347.87999999989</v>
      </c>
      <c r="W467" s="1">
        <v>4</v>
      </c>
    </row>
    <row r="468" spans="1:23" x14ac:dyDescent="0.25">
      <c r="A468" s="1" t="s">
        <v>320</v>
      </c>
      <c r="B468" s="1" t="s">
        <v>32</v>
      </c>
      <c r="C468" s="1" t="s">
        <v>408</v>
      </c>
      <c r="D468" s="1" t="s">
        <v>48</v>
      </c>
      <c r="E468" s="1" t="s">
        <v>49</v>
      </c>
      <c r="F468" s="1" t="s">
        <v>24</v>
      </c>
      <c r="G468" s="1" t="s">
        <v>44</v>
      </c>
      <c r="H468" s="1" t="s">
        <v>398</v>
      </c>
      <c r="I468" s="1" t="s">
        <v>395</v>
      </c>
      <c r="J468" s="1" t="s">
        <v>46</v>
      </c>
      <c r="K468" s="1">
        <v>112</v>
      </c>
      <c r="L468" s="1">
        <v>13225</v>
      </c>
      <c r="M468" s="2">
        <f t="shared" si="121"/>
        <v>1481200</v>
      </c>
      <c r="N468" s="1">
        <v>234622.07999999999</v>
      </c>
      <c r="O468" s="1">
        <f t="shared" si="122"/>
        <v>1715822.08</v>
      </c>
      <c r="P468" s="1">
        <v>6767</v>
      </c>
      <c r="Q468" s="1">
        <f t="shared" si="123"/>
        <v>1709055.08</v>
      </c>
      <c r="R468" s="1">
        <v>261800</v>
      </c>
      <c r="S468" s="1">
        <f t="shared" si="125"/>
        <v>209440</v>
      </c>
      <c r="T468" s="1">
        <f t="shared" si="124"/>
        <v>575960</v>
      </c>
      <c r="U468" s="1">
        <v>1047200</v>
      </c>
      <c r="V468" s="1">
        <f t="shared" si="120"/>
        <v>661855.08000000007</v>
      </c>
      <c r="W468" s="1">
        <v>4.4000000000000004</v>
      </c>
    </row>
    <row r="469" spans="1:23" x14ac:dyDescent="0.25">
      <c r="A469" s="1" t="s">
        <v>321</v>
      </c>
      <c r="B469" s="1" t="s">
        <v>14</v>
      </c>
      <c r="C469" s="1" t="s">
        <v>408</v>
      </c>
      <c r="D469" s="1" t="s">
        <v>15</v>
      </c>
      <c r="E469" s="1" t="s">
        <v>16</v>
      </c>
      <c r="F469" s="1" t="s">
        <v>24</v>
      </c>
      <c r="G469" s="1" t="s">
        <v>25</v>
      </c>
      <c r="H469" s="1" t="s">
        <v>398</v>
      </c>
      <c r="I469" s="1" t="s">
        <v>396</v>
      </c>
      <c r="J469" s="1" t="s">
        <v>26</v>
      </c>
      <c r="K469" s="1">
        <v>154</v>
      </c>
      <c r="L469" s="1">
        <v>20338</v>
      </c>
      <c r="M469" s="2">
        <f t="shared" si="121"/>
        <v>3132052</v>
      </c>
      <c r="N469" s="1">
        <v>563769.36</v>
      </c>
      <c r="O469" s="1">
        <f t="shared" si="122"/>
        <v>3695821.36</v>
      </c>
      <c r="P469" s="1">
        <v>6714</v>
      </c>
      <c r="Q469" s="1">
        <f t="shared" si="123"/>
        <v>3689107.36</v>
      </c>
      <c r="R469" s="1">
        <v>1244397</v>
      </c>
      <c r="S469" s="1">
        <f t="shared" si="125"/>
        <v>497758.80000000005</v>
      </c>
      <c r="T469" s="1">
        <f t="shared" si="124"/>
        <v>746638.2</v>
      </c>
      <c r="U469" s="1">
        <v>2488794</v>
      </c>
      <c r="V469" s="1">
        <f t="shared" si="120"/>
        <v>1200313.3599999999</v>
      </c>
      <c r="W469" s="1">
        <v>4.9000000000000004</v>
      </c>
    </row>
    <row r="470" spans="1:23" x14ac:dyDescent="0.25">
      <c r="A470" s="1" t="s">
        <v>284</v>
      </c>
      <c r="B470" s="1" t="s">
        <v>51</v>
      </c>
      <c r="C470" s="1" t="s">
        <v>408</v>
      </c>
      <c r="D470" s="1" t="s">
        <v>48</v>
      </c>
      <c r="E470" s="1" t="s">
        <v>49</v>
      </c>
      <c r="F470" s="1" t="s">
        <v>24</v>
      </c>
      <c r="G470" s="1" t="s">
        <v>44</v>
      </c>
      <c r="H470" s="1" t="s">
        <v>398</v>
      </c>
      <c r="I470" s="1" t="s">
        <v>39</v>
      </c>
      <c r="J470" s="1" t="s">
        <v>46</v>
      </c>
      <c r="K470" s="1">
        <v>194</v>
      </c>
      <c r="L470" s="1">
        <v>13687</v>
      </c>
      <c r="M470" s="2">
        <f t="shared" si="121"/>
        <v>2655278</v>
      </c>
      <c r="N470" s="1">
        <v>439714.04</v>
      </c>
      <c r="O470" s="1">
        <f t="shared" si="122"/>
        <v>3094992.04</v>
      </c>
      <c r="P470" s="1">
        <v>7132</v>
      </c>
      <c r="Q470" s="1">
        <f t="shared" si="123"/>
        <v>3087860.04</v>
      </c>
      <c r="R470" s="1">
        <v>481459.5</v>
      </c>
      <c r="S470" s="1">
        <f t="shared" si="125"/>
        <v>385167.60000000003</v>
      </c>
      <c r="T470" s="1">
        <f t="shared" si="124"/>
        <v>1059210.8999999999</v>
      </c>
      <c r="U470" s="1">
        <v>1925838</v>
      </c>
      <c r="V470" s="1">
        <f t="shared" si="120"/>
        <v>1162022.04</v>
      </c>
      <c r="W470" s="1">
        <v>5</v>
      </c>
    </row>
    <row r="471" spans="1:23" x14ac:dyDescent="0.25">
      <c r="A471" s="1" t="s">
        <v>257</v>
      </c>
      <c r="B471" s="1" t="s">
        <v>21</v>
      </c>
      <c r="C471" s="1" t="s">
        <v>408</v>
      </c>
      <c r="D471" s="1" t="s">
        <v>22</v>
      </c>
      <c r="E471" s="1" t="s">
        <v>23</v>
      </c>
      <c r="F471" s="1" t="s">
        <v>29</v>
      </c>
      <c r="G471" s="1" t="s">
        <v>53</v>
      </c>
      <c r="H471" s="1" t="s">
        <v>399</v>
      </c>
      <c r="I471" s="1" t="s">
        <v>19</v>
      </c>
      <c r="J471" s="1" t="s">
        <v>46</v>
      </c>
      <c r="K471" s="1">
        <v>27</v>
      </c>
      <c r="L471" s="1">
        <v>27200</v>
      </c>
      <c r="M471" s="2">
        <f t="shared" si="121"/>
        <v>734400</v>
      </c>
      <c r="N471" s="1">
        <v>116328.96000000001</v>
      </c>
      <c r="O471" s="1">
        <f t="shared" si="122"/>
        <v>850728.95999999996</v>
      </c>
      <c r="P471" s="1">
        <v>8200</v>
      </c>
      <c r="Q471" s="1">
        <f t="shared" si="123"/>
        <v>842528.96</v>
      </c>
      <c r="R471" s="1">
        <v>433350</v>
      </c>
      <c r="S471" s="1">
        <f>U471*0.1</f>
        <v>57780</v>
      </c>
      <c r="T471" s="1">
        <f t="shared" si="124"/>
        <v>86670</v>
      </c>
      <c r="U471" s="1">
        <v>577800</v>
      </c>
      <c r="V471" s="1">
        <f t="shared" si="120"/>
        <v>264728.95999999996</v>
      </c>
      <c r="W471" s="1">
        <v>4.4000000000000004</v>
      </c>
    </row>
    <row r="472" spans="1:23" x14ac:dyDescent="0.25">
      <c r="A472" s="1" t="s">
        <v>257</v>
      </c>
      <c r="B472" s="1" t="s">
        <v>41</v>
      </c>
      <c r="C472" s="1" t="s">
        <v>408</v>
      </c>
      <c r="D472" s="1" t="s">
        <v>22</v>
      </c>
      <c r="E472" s="1" t="s">
        <v>23</v>
      </c>
      <c r="F472" s="1" t="s">
        <v>59</v>
      </c>
      <c r="G472" s="1" t="s">
        <v>67</v>
      </c>
      <c r="H472" s="1" t="s">
        <v>399</v>
      </c>
      <c r="I472" s="1" t="s">
        <v>395</v>
      </c>
      <c r="J472" s="1" t="s">
        <v>26</v>
      </c>
      <c r="K472" s="1">
        <v>72</v>
      </c>
      <c r="L472" s="1">
        <v>23154</v>
      </c>
      <c r="M472" s="2">
        <f t="shared" si="121"/>
        <v>1667088</v>
      </c>
      <c r="N472" s="1">
        <v>264066.74</v>
      </c>
      <c r="O472" s="1">
        <f t="shared" si="122"/>
        <v>1931154.74</v>
      </c>
      <c r="P472" s="1">
        <v>9625</v>
      </c>
      <c r="Q472" s="1">
        <f t="shared" si="123"/>
        <v>1921529.74</v>
      </c>
      <c r="R472" s="1">
        <f>0.7*U472</f>
        <v>828626.39999999991</v>
      </c>
      <c r="S472" s="1">
        <f t="shared" si="125"/>
        <v>236750.40000000002</v>
      </c>
      <c r="T472" s="1">
        <f t="shared" si="124"/>
        <v>118375.20000000007</v>
      </c>
      <c r="U472" s="1">
        <v>1183752</v>
      </c>
      <c r="V472" s="1">
        <f t="shared" si="120"/>
        <v>737777.74</v>
      </c>
      <c r="W472" s="1">
        <v>4.4000000000000004</v>
      </c>
    </row>
    <row r="473" spans="1:23" x14ac:dyDescent="0.25">
      <c r="A473" s="1" t="s">
        <v>195</v>
      </c>
      <c r="B473" s="1" t="s">
        <v>34</v>
      </c>
      <c r="C473" s="1" t="s">
        <v>408</v>
      </c>
      <c r="D473" s="1" t="s">
        <v>74</v>
      </c>
      <c r="E473" s="1" t="s">
        <v>56</v>
      </c>
      <c r="F473" s="1" t="s">
        <v>24</v>
      </c>
      <c r="G473" s="1" t="s">
        <v>25</v>
      </c>
      <c r="H473" s="1" t="s">
        <v>399</v>
      </c>
      <c r="I473" s="1" t="s">
        <v>19</v>
      </c>
      <c r="J473" s="1" t="s">
        <v>46</v>
      </c>
      <c r="K473" s="1">
        <v>69</v>
      </c>
      <c r="L473" s="1">
        <v>37238</v>
      </c>
      <c r="M473" s="2">
        <f t="shared" si="121"/>
        <v>2569422</v>
      </c>
      <c r="N473" s="1">
        <v>406996.44</v>
      </c>
      <c r="O473" s="1">
        <f t="shared" si="122"/>
        <v>2976418.44</v>
      </c>
      <c r="P473" s="1">
        <v>8842</v>
      </c>
      <c r="Q473" s="1">
        <f t="shared" si="123"/>
        <v>2967576.44</v>
      </c>
      <c r="R473" s="1">
        <v>1232581.5</v>
      </c>
      <c r="S473" s="1">
        <f t="shared" si="125"/>
        <v>328688.40000000002</v>
      </c>
      <c r="T473" s="1">
        <f t="shared" si="124"/>
        <v>82172.100000000093</v>
      </c>
      <c r="U473" s="1">
        <v>1643442</v>
      </c>
      <c r="V473" s="1">
        <f t="shared" si="120"/>
        <v>1324134.44</v>
      </c>
      <c r="W473" s="1">
        <v>4.3</v>
      </c>
    </row>
    <row r="474" spans="1:23" x14ac:dyDescent="0.25">
      <c r="A474" s="1" t="s">
        <v>129</v>
      </c>
      <c r="B474" s="1" t="s">
        <v>69</v>
      </c>
      <c r="C474" s="1" t="s">
        <v>408</v>
      </c>
      <c r="D474" s="1" t="s">
        <v>78</v>
      </c>
      <c r="E474" s="1" t="s">
        <v>49</v>
      </c>
      <c r="F474" s="1" t="s">
        <v>59</v>
      </c>
      <c r="G474" s="1" t="s">
        <v>121</v>
      </c>
      <c r="H474" s="1" t="s">
        <v>399</v>
      </c>
      <c r="I474" s="1" t="s">
        <v>397</v>
      </c>
      <c r="J474" s="1" t="s">
        <v>26</v>
      </c>
      <c r="K474" s="1">
        <v>95</v>
      </c>
      <c r="L474" s="1">
        <v>30034</v>
      </c>
      <c r="M474" s="2">
        <f t="shared" si="121"/>
        <v>2853230</v>
      </c>
      <c r="N474" s="1">
        <v>472494.89</v>
      </c>
      <c r="O474" s="1">
        <f t="shared" si="122"/>
        <v>3325724.89</v>
      </c>
      <c r="P474" s="1">
        <v>8146</v>
      </c>
      <c r="Q474" s="1">
        <f t="shared" si="123"/>
        <v>3317578.89</v>
      </c>
      <c r="R474" s="1">
        <f>0.7*U474</f>
        <v>1318495.5</v>
      </c>
      <c r="S474" s="1">
        <f t="shared" si="125"/>
        <v>376713</v>
      </c>
      <c r="T474" s="1">
        <f t="shared" si="124"/>
        <v>188356.5</v>
      </c>
      <c r="U474" s="1">
        <v>1883565</v>
      </c>
      <c r="V474" s="1">
        <f t="shared" si="120"/>
        <v>1434013.8900000001</v>
      </c>
      <c r="W474" s="1">
        <v>4.5999999999999996</v>
      </c>
    </row>
    <row r="475" spans="1:23" x14ac:dyDescent="0.25">
      <c r="A475" s="1" t="s">
        <v>200</v>
      </c>
      <c r="B475" s="1" t="s">
        <v>69</v>
      </c>
      <c r="C475" s="1" t="s">
        <v>408</v>
      </c>
      <c r="D475" s="1" t="s">
        <v>22</v>
      </c>
      <c r="E475" s="1" t="s">
        <v>23</v>
      </c>
      <c r="F475" s="1" t="s">
        <v>24</v>
      </c>
      <c r="G475" s="1" t="s">
        <v>143</v>
      </c>
      <c r="H475" s="1" t="s">
        <v>398</v>
      </c>
      <c r="I475" s="1" t="s">
        <v>39</v>
      </c>
      <c r="J475" s="1" t="s">
        <v>26</v>
      </c>
      <c r="K475" s="1">
        <v>146</v>
      </c>
      <c r="L475" s="1">
        <v>12332</v>
      </c>
      <c r="M475" s="2">
        <f t="shared" si="121"/>
        <v>1800472</v>
      </c>
      <c r="N475" s="1">
        <v>324084.96000000002</v>
      </c>
      <c r="O475" s="1">
        <f t="shared" si="122"/>
        <v>2124556.96</v>
      </c>
      <c r="P475" s="1">
        <v>8154</v>
      </c>
      <c r="Q475" s="1">
        <f t="shared" si="123"/>
        <v>2116402.96</v>
      </c>
      <c r="R475" s="1">
        <v>301672.5</v>
      </c>
      <c r="S475" s="1">
        <f t="shared" si="125"/>
        <v>241338</v>
      </c>
      <c r="T475" s="1">
        <f t="shared" si="124"/>
        <v>663679.5</v>
      </c>
      <c r="U475" s="1">
        <v>1206690</v>
      </c>
      <c r="V475" s="1">
        <f t="shared" si="120"/>
        <v>909712.96</v>
      </c>
      <c r="W475" s="1">
        <v>4.8</v>
      </c>
    </row>
    <row r="476" spans="1:23" x14ac:dyDescent="0.25">
      <c r="A476" s="1" t="s">
        <v>322</v>
      </c>
      <c r="B476" s="1" t="s">
        <v>109</v>
      </c>
      <c r="C476" s="1" t="s">
        <v>408</v>
      </c>
      <c r="D476" s="1" t="s">
        <v>15</v>
      </c>
      <c r="E476" s="1" t="s">
        <v>16</v>
      </c>
      <c r="F476" s="1" t="s">
        <v>59</v>
      </c>
      <c r="G476" s="1" t="s">
        <v>67</v>
      </c>
      <c r="H476" s="1" t="s">
        <v>398</v>
      </c>
      <c r="I476" s="1" t="s">
        <v>395</v>
      </c>
      <c r="J476" s="1" t="s">
        <v>26</v>
      </c>
      <c r="K476" s="1">
        <v>200</v>
      </c>
      <c r="L476" s="1">
        <v>6023</v>
      </c>
      <c r="M476" s="2">
        <f t="shared" si="121"/>
        <v>1204600</v>
      </c>
      <c r="N476" s="1">
        <v>216828</v>
      </c>
      <c r="O476" s="1">
        <f t="shared" si="122"/>
        <v>1421428</v>
      </c>
      <c r="P476" s="1">
        <v>9729</v>
      </c>
      <c r="Q476" s="1">
        <f t="shared" si="123"/>
        <v>1411699</v>
      </c>
      <c r="R476" s="1">
        <f>0.7*U476</f>
        <v>672420</v>
      </c>
      <c r="S476" s="1">
        <f t="shared" si="125"/>
        <v>192120</v>
      </c>
      <c r="T476" s="1">
        <f t="shared" si="124"/>
        <v>96060</v>
      </c>
      <c r="U476" s="1">
        <v>960600</v>
      </c>
      <c r="V476" s="1">
        <f t="shared" si="120"/>
        <v>451099</v>
      </c>
      <c r="W476" s="1">
        <v>3.9</v>
      </c>
    </row>
    <row r="477" spans="1:23" x14ac:dyDescent="0.25">
      <c r="A477" s="1" t="s">
        <v>323</v>
      </c>
      <c r="B477" s="1" t="s">
        <v>41</v>
      </c>
      <c r="C477" s="1" t="s">
        <v>408</v>
      </c>
      <c r="D477" s="1" t="s">
        <v>74</v>
      </c>
      <c r="E477" s="1" t="s">
        <v>56</v>
      </c>
      <c r="F477" s="1" t="s">
        <v>29</v>
      </c>
      <c r="G477" s="1" t="s">
        <v>30</v>
      </c>
      <c r="H477" s="1" t="s">
        <v>398</v>
      </c>
      <c r="I477" s="1" t="s">
        <v>395</v>
      </c>
      <c r="J477" s="1" t="s">
        <v>46</v>
      </c>
      <c r="K477" s="1">
        <v>72</v>
      </c>
      <c r="L477" s="1">
        <v>28326</v>
      </c>
      <c r="M477" s="2">
        <f t="shared" si="121"/>
        <v>2039472</v>
      </c>
      <c r="N477" s="1">
        <v>367104.96</v>
      </c>
      <c r="O477" s="1">
        <f t="shared" si="122"/>
        <v>2406576.96</v>
      </c>
      <c r="P477" s="1">
        <v>8963</v>
      </c>
      <c r="Q477" s="1">
        <f t="shared" si="123"/>
        <v>2397613.96</v>
      </c>
      <c r="R477" s="1">
        <v>416610</v>
      </c>
      <c r="S477" s="1">
        <f>U477*0.1</f>
        <v>166644</v>
      </c>
      <c r="T477" s="1">
        <f t="shared" si="124"/>
        <v>1083186</v>
      </c>
      <c r="U477" s="1">
        <v>1666440</v>
      </c>
      <c r="V477" s="1">
        <f t="shared" si="120"/>
        <v>731173.96</v>
      </c>
      <c r="W477" s="1">
        <v>4.5999999999999996</v>
      </c>
    </row>
    <row r="478" spans="1:23" x14ac:dyDescent="0.25">
      <c r="A478" s="1" t="s">
        <v>324</v>
      </c>
      <c r="B478" s="1" t="s">
        <v>37</v>
      </c>
      <c r="C478" s="1" t="s">
        <v>408</v>
      </c>
      <c r="D478" s="1" t="s">
        <v>22</v>
      </c>
      <c r="E478" s="1" t="s">
        <v>23</v>
      </c>
      <c r="F478" s="1" t="s">
        <v>59</v>
      </c>
      <c r="G478" s="1" t="s">
        <v>85</v>
      </c>
      <c r="H478" s="1" t="s">
        <v>399</v>
      </c>
      <c r="I478" s="1" t="s">
        <v>397</v>
      </c>
      <c r="J478" s="1" t="s">
        <v>46</v>
      </c>
      <c r="K478" s="1">
        <v>180</v>
      </c>
      <c r="L478" s="1">
        <v>37166</v>
      </c>
      <c r="M478" s="2">
        <f t="shared" si="121"/>
        <v>6689880</v>
      </c>
      <c r="N478" s="1">
        <v>1107844.1299999999</v>
      </c>
      <c r="O478" s="1">
        <f t="shared" si="122"/>
        <v>7797724.1299999999</v>
      </c>
      <c r="P478" s="1">
        <v>9149</v>
      </c>
      <c r="Q478" s="1">
        <f t="shared" si="123"/>
        <v>7788575.1299999999</v>
      </c>
      <c r="R478" s="1">
        <f>0.7*U478</f>
        <v>3116862</v>
      </c>
      <c r="S478" s="1">
        <f t="shared" si="125"/>
        <v>890532</v>
      </c>
      <c r="T478" s="1">
        <f t="shared" si="124"/>
        <v>445266</v>
      </c>
      <c r="U478" s="1">
        <v>4452660</v>
      </c>
      <c r="V478" s="1">
        <f t="shared" si="120"/>
        <v>3335915.13</v>
      </c>
      <c r="W478" s="1">
        <v>4.9000000000000004</v>
      </c>
    </row>
    <row r="479" spans="1:23" x14ac:dyDescent="0.25">
      <c r="A479" s="1" t="s">
        <v>282</v>
      </c>
      <c r="B479" s="1" t="s">
        <v>37</v>
      </c>
      <c r="C479" s="1" t="s">
        <v>408</v>
      </c>
      <c r="D479" s="1" t="s">
        <v>42</v>
      </c>
      <c r="E479" s="1" t="s">
        <v>43</v>
      </c>
      <c r="F479" s="1" t="s">
        <v>29</v>
      </c>
      <c r="G479" s="1" t="s">
        <v>91</v>
      </c>
      <c r="H479" s="1" t="s">
        <v>398</v>
      </c>
      <c r="I479" s="1" t="s">
        <v>397</v>
      </c>
      <c r="J479" s="1" t="s">
        <v>26</v>
      </c>
      <c r="K479" s="1">
        <v>67</v>
      </c>
      <c r="L479" s="1">
        <v>7025</v>
      </c>
      <c r="M479" s="2">
        <f t="shared" si="121"/>
        <v>470675</v>
      </c>
      <c r="N479" s="1">
        <v>80485.429999999993</v>
      </c>
      <c r="O479" s="1">
        <f t="shared" si="122"/>
        <v>551160.42999999993</v>
      </c>
      <c r="P479" s="1">
        <v>7889</v>
      </c>
      <c r="Q479" s="1">
        <f t="shared" si="123"/>
        <v>543271.42999999993</v>
      </c>
      <c r="R479" s="1">
        <v>259641.75</v>
      </c>
      <c r="S479" s="1">
        <f>U479*0.1</f>
        <v>34618.9</v>
      </c>
      <c r="T479" s="1">
        <f t="shared" si="124"/>
        <v>51928.349999999977</v>
      </c>
      <c r="U479" s="1">
        <v>346189</v>
      </c>
      <c r="V479" s="1">
        <f t="shared" si="120"/>
        <v>197082.42999999993</v>
      </c>
      <c r="W479" s="1">
        <v>4.4000000000000004</v>
      </c>
    </row>
    <row r="480" spans="1:23" x14ac:dyDescent="0.25">
      <c r="A480" s="1" t="s">
        <v>297</v>
      </c>
      <c r="B480" s="1" t="s">
        <v>58</v>
      </c>
      <c r="C480" s="1" t="s">
        <v>408</v>
      </c>
      <c r="D480" s="1" t="s">
        <v>42</v>
      </c>
      <c r="E480" s="1" t="s">
        <v>43</v>
      </c>
      <c r="F480" s="1" t="s">
        <v>24</v>
      </c>
      <c r="G480" s="1" t="s">
        <v>63</v>
      </c>
      <c r="H480" s="1" t="s">
        <v>399</v>
      </c>
      <c r="I480" s="1" t="s">
        <v>39</v>
      </c>
      <c r="J480" s="1" t="s">
        <v>26</v>
      </c>
      <c r="K480" s="1">
        <v>163</v>
      </c>
      <c r="L480" s="1">
        <v>32194</v>
      </c>
      <c r="M480" s="2">
        <f t="shared" si="121"/>
        <v>5247622</v>
      </c>
      <c r="N480" s="1">
        <v>897343.36</v>
      </c>
      <c r="O480" s="1">
        <f t="shared" si="122"/>
        <v>6144965.3600000003</v>
      </c>
      <c r="P480" s="1">
        <v>8427</v>
      </c>
      <c r="Q480" s="1">
        <f t="shared" si="123"/>
        <v>6136538.3600000003</v>
      </c>
      <c r="R480" s="1">
        <v>950575.25</v>
      </c>
      <c r="S480" s="1">
        <f t="shared" si="125"/>
        <v>760460.20000000007</v>
      </c>
      <c r="T480" s="1">
        <f t="shared" si="124"/>
        <v>2091265.5499999998</v>
      </c>
      <c r="U480" s="1">
        <v>3802301</v>
      </c>
      <c r="V480" s="1">
        <f t="shared" si="120"/>
        <v>2334237.3600000003</v>
      </c>
      <c r="W480" s="1">
        <v>5</v>
      </c>
    </row>
    <row r="481" spans="1:23" x14ac:dyDescent="0.25">
      <c r="A481" s="1" t="s">
        <v>152</v>
      </c>
      <c r="B481" s="1" t="s">
        <v>34</v>
      </c>
      <c r="C481" s="1" t="s">
        <v>408</v>
      </c>
      <c r="D481" s="1" t="s">
        <v>55</v>
      </c>
      <c r="E481" s="1" t="s">
        <v>56</v>
      </c>
      <c r="F481" s="1" t="s">
        <v>59</v>
      </c>
      <c r="G481" s="1" t="s">
        <v>103</v>
      </c>
      <c r="H481" s="1" t="s">
        <v>398</v>
      </c>
      <c r="I481" s="1" t="s">
        <v>397</v>
      </c>
      <c r="J481" s="1" t="s">
        <v>46</v>
      </c>
      <c r="K481" s="1">
        <v>168</v>
      </c>
      <c r="L481" s="1">
        <v>852</v>
      </c>
      <c r="M481" s="2">
        <f t="shared" si="121"/>
        <v>143136</v>
      </c>
      <c r="N481" s="1">
        <v>23703.32</v>
      </c>
      <c r="O481" s="1">
        <f t="shared" si="122"/>
        <v>166839.32</v>
      </c>
      <c r="P481" s="1">
        <v>6050</v>
      </c>
      <c r="Q481" s="1">
        <f t="shared" si="123"/>
        <v>160789.32</v>
      </c>
      <c r="R481" s="1">
        <f>0.7*U481</f>
        <v>67032</v>
      </c>
      <c r="S481" s="1">
        <f t="shared" si="125"/>
        <v>19152</v>
      </c>
      <c r="T481" s="1">
        <f t="shared" si="124"/>
        <v>9576</v>
      </c>
      <c r="U481" s="1">
        <v>95760</v>
      </c>
      <c r="V481" s="1">
        <f t="shared" si="120"/>
        <v>65029.320000000007</v>
      </c>
      <c r="W481" s="1">
        <v>4.2</v>
      </c>
    </row>
    <row r="482" spans="1:23" x14ac:dyDescent="0.25">
      <c r="A482" s="1" t="s">
        <v>202</v>
      </c>
      <c r="B482" s="1" t="s">
        <v>51</v>
      </c>
      <c r="C482" s="1" t="s">
        <v>408</v>
      </c>
      <c r="D482" s="1" t="s">
        <v>48</v>
      </c>
      <c r="E482" s="1" t="s">
        <v>49</v>
      </c>
      <c r="F482" s="1" t="s">
        <v>24</v>
      </c>
      <c r="G482" s="1" t="s">
        <v>143</v>
      </c>
      <c r="H482" s="1" t="s">
        <v>398</v>
      </c>
      <c r="I482" s="1" t="s">
        <v>39</v>
      </c>
      <c r="J482" s="1" t="s">
        <v>26</v>
      </c>
      <c r="K482" s="1">
        <v>109</v>
      </c>
      <c r="L482" s="1">
        <v>21725</v>
      </c>
      <c r="M482" s="2">
        <f t="shared" si="121"/>
        <v>2368025</v>
      </c>
      <c r="N482" s="1">
        <v>392144.94</v>
      </c>
      <c r="O482" s="1">
        <f t="shared" si="122"/>
        <v>2760169.94</v>
      </c>
      <c r="P482" s="1">
        <v>5865</v>
      </c>
      <c r="Q482" s="1">
        <f t="shared" si="123"/>
        <v>2754304.94</v>
      </c>
      <c r="R482" s="1">
        <v>912820.5</v>
      </c>
      <c r="S482" s="1">
        <f t="shared" si="125"/>
        <v>365128.2</v>
      </c>
      <c r="T482" s="1">
        <f t="shared" si="124"/>
        <v>547692.30000000005</v>
      </c>
      <c r="U482" s="1">
        <v>1825641</v>
      </c>
      <c r="V482" s="1">
        <f t="shared" si="120"/>
        <v>928663.94</v>
      </c>
      <c r="W482" s="1">
        <v>5</v>
      </c>
    </row>
    <row r="483" spans="1:23" x14ac:dyDescent="0.25">
      <c r="A483" s="1" t="s">
        <v>248</v>
      </c>
      <c r="B483" s="1" t="s">
        <v>37</v>
      </c>
      <c r="C483" s="1" t="s">
        <v>408</v>
      </c>
      <c r="D483" s="1" t="s">
        <v>42</v>
      </c>
      <c r="E483" s="1" t="s">
        <v>43</v>
      </c>
      <c r="F483" s="1" t="s">
        <v>17</v>
      </c>
      <c r="G483" s="1" t="s">
        <v>75</v>
      </c>
      <c r="H483" s="1" t="s">
        <v>398</v>
      </c>
      <c r="I483" s="1" t="s">
        <v>397</v>
      </c>
      <c r="J483" s="1" t="s">
        <v>46</v>
      </c>
      <c r="K483" s="1">
        <v>33</v>
      </c>
      <c r="L483" s="1">
        <v>22848</v>
      </c>
      <c r="M483" s="2">
        <f t="shared" si="121"/>
        <v>753984</v>
      </c>
      <c r="N483" s="1">
        <v>135717.12</v>
      </c>
      <c r="O483" s="1">
        <f t="shared" si="122"/>
        <v>889701.12</v>
      </c>
      <c r="P483" s="1">
        <v>6187</v>
      </c>
      <c r="Q483" s="1">
        <f t="shared" si="123"/>
        <v>883514.12</v>
      </c>
      <c r="R483" s="1">
        <f t="shared" ref="R483:R484" si="127">0.62*U483</f>
        <v>383154.42</v>
      </c>
      <c r="S483" s="1">
        <f t="shared" si="125"/>
        <v>123598.20000000001</v>
      </c>
      <c r="T483" s="1">
        <f t="shared" si="124"/>
        <v>111238.38</v>
      </c>
      <c r="U483" s="1">
        <v>617991</v>
      </c>
      <c r="V483" s="1">
        <f t="shared" si="120"/>
        <v>265523.12</v>
      </c>
      <c r="W483" s="1">
        <v>4.0999999999999996</v>
      </c>
    </row>
    <row r="484" spans="1:23" x14ac:dyDescent="0.25">
      <c r="A484" s="1" t="s">
        <v>325</v>
      </c>
      <c r="B484" s="1" t="s">
        <v>32</v>
      </c>
      <c r="C484" s="1" t="s">
        <v>408</v>
      </c>
      <c r="D484" s="1" t="s">
        <v>48</v>
      </c>
      <c r="E484" s="1" t="s">
        <v>49</v>
      </c>
      <c r="F484" s="1" t="s">
        <v>17</v>
      </c>
      <c r="G484" s="1" t="s">
        <v>72</v>
      </c>
      <c r="H484" s="1" t="s">
        <v>399</v>
      </c>
      <c r="I484" s="1" t="s">
        <v>19</v>
      </c>
      <c r="J484" s="1" t="s">
        <v>46</v>
      </c>
      <c r="K484" s="1">
        <v>57</v>
      </c>
      <c r="L484" s="1">
        <v>7070</v>
      </c>
      <c r="M484" s="2">
        <f t="shared" si="121"/>
        <v>402990</v>
      </c>
      <c r="N484" s="1">
        <v>68911.289999999994</v>
      </c>
      <c r="O484" s="1">
        <f t="shared" si="122"/>
        <v>471901.29</v>
      </c>
      <c r="P484" s="1">
        <v>8797</v>
      </c>
      <c r="Q484" s="1">
        <f t="shared" si="123"/>
        <v>463104.29</v>
      </c>
      <c r="R484" s="1">
        <f t="shared" si="127"/>
        <v>200483.82</v>
      </c>
      <c r="S484" s="1">
        <f t="shared" si="125"/>
        <v>64672.200000000004</v>
      </c>
      <c r="T484" s="1">
        <f t="shared" si="124"/>
        <v>58204.979999999981</v>
      </c>
      <c r="U484" s="1">
        <v>323361</v>
      </c>
      <c r="V484" s="1">
        <f t="shared" si="120"/>
        <v>139743.28999999998</v>
      </c>
      <c r="W484" s="1">
        <v>4.5</v>
      </c>
    </row>
    <row r="485" spans="1:23" x14ac:dyDescent="0.25">
      <c r="A485" s="1" t="s">
        <v>242</v>
      </c>
      <c r="B485" s="1" t="s">
        <v>21</v>
      </c>
      <c r="C485" s="1" t="s">
        <v>408</v>
      </c>
      <c r="D485" s="1" t="s">
        <v>52</v>
      </c>
      <c r="E485" s="1" t="s">
        <v>23</v>
      </c>
      <c r="F485" s="1" t="s">
        <v>29</v>
      </c>
      <c r="G485" s="1" t="s">
        <v>87</v>
      </c>
      <c r="H485" s="1" t="s">
        <v>399</v>
      </c>
      <c r="I485" s="1" t="s">
        <v>19</v>
      </c>
      <c r="J485" s="1" t="s">
        <v>26</v>
      </c>
      <c r="K485" s="1">
        <v>178</v>
      </c>
      <c r="L485" s="1">
        <v>11206</v>
      </c>
      <c r="M485" s="2">
        <f t="shared" si="121"/>
        <v>1994668</v>
      </c>
      <c r="N485" s="1">
        <v>330317.02</v>
      </c>
      <c r="O485" s="1">
        <f t="shared" si="122"/>
        <v>2324985.02</v>
      </c>
      <c r="P485" s="1">
        <v>8200</v>
      </c>
      <c r="Q485" s="1">
        <f t="shared" si="123"/>
        <v>2316785.02</v>
      </c>
      <c r="R485" s="1">
        <v>686012</v>
      </c>
      <c r="S485" s="1">
        <f>U485*0.1</f>
        <v>137202.4</v>
      </c>
      <c r="T485" s="1">
        <f t="shared" si="124"/>
        <v>548809.60000000009</v>
      </c>
      <c r="U485" s="1">
        <v>1372024</v>
      </c>
      <c r="V485" s="1">
        <f t="shared" si="120"/>
        <v>944761.02</v>
      </c>
      <c r="W485" s="1">
        <v>3.7</v>
      </c>
    </row>
    <row r="486" spans="1:23" x14ac:dyDescent="0.25">
      <c r="A486" s="1" t="s">
        <v>188</v>
      </c>
      <c r="B486" s="1" t="s">
        <v>77</v>
      </c>
      <c r="C486" s="1" t="s">
        <v>408</v>
      </c>
      <c r="D486" s="1" t="s">
        <v>52</v>
      </c>
      <c r="E486" s="1" t="s">
        <v>23</v>
      </c>
      <c r="F486" s="1" t="s">
        <v>24</v>
      </c>
      <c r="G486" s="1" t="s">
        <v>119</v>
      </c>
      <c r="H486" s="1" t="s">
        <v>398</v>
      </c>
      <c r="I486" s="1" t="s">
        <v>395</v>
      </c>
      <c r="J486" s="1" t="s">
        <v>26</v>
      </c>
      <c r="K486" s="1">
        <v>198</v>
      </c>
      <c r="L486" s="1">
        <v>25587</v>
      </c>
      <c r="M486" s="2">
        <f t="shared" si="121"/>
        <v>5066226</v>
      </c>
      <c r="N486" s="1">
        <v>838967.03</v>
      </c>
      <c r="O486" s="1">
        <f t="shared" si="122"/>
        <v>5905193.0300000003</v>
      </c>
      <c r="P486" s="1">
        <v>5052</v>
      </c>
      <c r="Q486" s="1">
        <f t="shared" si="123"/>
        <v>5900141.0300000003</v>
      </c>
      <c r="R486" s="1">
        <v>1868823</v>
      </c>
      <c r="S486" s="1">
        <f t="shared" si="125"/>
        <v>747529.20000000007</v>
      </c>
      <c r="T486" s="1">
        <f t="shared" si="124"/>
        <v>1121293.7999999998</v>
      </c>
      <c r="U486" s="1">
        <v>3737646</v>
      </c>
      <c r="V486" s="1">
        <f t="shared" si="120"/>
        <v>2162495.0300000003</v>
      </c>
      <c r="W486" s="1">
        <v>4.4000000000000004</v>
      </c>
    </row>
    <row r="487" spans="1:23" x14ac:dyDescent="0.25">
      <c r="A487" s="1" t="s">
        <v>54</v>
      </c>
      <c r="B487" s="1" t="s">
        <v>69</v>
      </c>
      <c r="C487" s="1" t="s">
        <v>408</v>
      </c>
      <c r="D487" s="1" t="s">
        <v>52</v>
      </c>
      <c r="E487" s="1" t="s">
        <v>23</v>
      </c>
      <c r="F487" s="1" t="s">
        <v>59</v>
      </c>
      <c r="G487" s="1" t="s">
        <v>60</v>
      </c>
      <c r="H487" s="1" t="s">
        <v>398</v>
      </c>
      <c r="I487" s="1" t="s">
        <v>39</v>
      </c>
      <c r="J487" s="1" t="s">
        <v>26</v>
      </c>
      <c r="K487" s="1">
        <v>107</v>
      </c>
      <c r="L487" s="1">
        <v>29923</v>
      </c>
      <c r="M487" s="2">
        <f t="shared" si="121"/>
        <v>3201761</v>
      </c>
      <c r="N487" s="1">
        <v>547501.13</v>
      </c>
      <c r="O487" s="1">
        <f t="shared" si="122"/>
        <v>3749262.13</v>
      </c>
      <c r="P487" s="1">
        <v>5083</v>
      </c>
      <c r="Q487" s="1">
        <f t="shared" si="123"/>
        <v>3744179.13</v>
      </c>
      <c r="R487" s="1">
        <f>0.7*U487</f>
        <v>1612821.7</v>
      </c>
      <c r="S487" s="1">
        <f t="shared" si="125"/>
        <v>460806.2</v>
      </c>
      <c r="T487" s="1">
        <f t="shared" si="124"/>
        <v>230403.10000000009</v>
      </c>
      <c r="U487" s="1">
        <v>2304031</v>
      </c>
      <c r="V487" s="1">
        <f t="shared" si="120"/>
        <v>1440148.13</v>
      </c>
      <c r="W487" s="1">
        <v>4.5</v>
      </c>
    </row>
    <row r="488" spans="1:23" x14ac:dyDescent="0.25">
      <c r="A488" s="1" t="s">
        <v>245</v>
      </c>
      <c r="B488" s="1" t="s">
        <v>77</v>
      </c>
      <c r="C488" s="1" t="s">
        <v>408</v>
      </c>
      <c r="D488" s="1" t="s">
        <v>62</v>
      </c>
      <c r="E488" s="1" t="s">
        <v>43</v>
      </c>
      <c r="F488" s="1" t="s">
        <v>24</v>
      </c>
      <c r="G488" s="1" t="s">
        <v>119</v>
      </c>
      <c r="H488" s="1" t="s">
        <v>398</v>
      </c>
      <c r="I488" s="1" t="s">
        <v>19</v>
      </c>
      <c r="J488" s="1" t="s">
        <v>26</v>
      </c>
      <c r="K488" s="1">
        <v>123</v>
      </c>
      <c r="L488" s="1">
        <v>28249</v>
      </c>
      <c r="M488" s="2">
        <f t="shared" si="121"/>
        <v>3474627</v>
      </c>
      <c r="N488" s="1">
        <v>594161.22</v>
      </c>
      <c r="O488" s="1">
        <f t="shared" si="122"/>
        <v>4068788.2199999997</v>
      </c>
      <c r="P488" s="1">
        <v>6586</v>
      </c>
      <c r="Q488" s="1">
        <f t="shared" si="123"/>
        <v>4062202.2199999997</v>
      </c>
      <c r="R488" s="1">
        <v>567183.75</v>
      </c>
      <c r="S488" s="1">
        <f t="shared" si="125"/>
        <v>453747</v>
      </c>
      <c r="T488" s="1">
        <f t="shared" si="124"/>
        <v>1247804.25</v>
      </c>
      <c r="U488" s="1">
        <v>2268735</v>
      </c>
      <c r="V488" s="1">
        <f t="shared" si="120"/>
        <v>1793467.2199999997</v>
      </c>
      <c r="W488" s="1">
        <v>3.6</v>
      </c>
    </row>
    <row r="489" spans="1:23" x14ac:dyDescent="0.25">
      <c r="A489" s="1" t="s">
        <v>326</v>
      </c>
      <c r="B489" s="1" t="s">
        <v>77</v>
      </c>
      <c r="C489" s="1" t="s">
        <v>408</v>
      </c>
      <c r="D489" s="1" t="s">
        <v>42</v>
      </c>
      <c r="E489" s="1" t="s">
        <v>43</v>
      </c>
      <c r="F489" s="1" t="s">
        <v>24</v>
      </c>
      <c r="G489" s="1" t="s">
        <v>143</v>
      </c>
      <c r="H489" s="1" t="s">
        <v>399</v>
      </c>
      <c r="I489" s="1" t="s">
        <v>395</v>
      </c>
      <c r="J489" s="1" t="s">
        <v>46</v>
      </c>
      <c r="K489" s="1">
        <v>52</v>
      </c>
      <c r="L489" s="1">
        <v>13815</v>
      </c>
      <c r="M489" s="2">
        <f t="shared" si="121"/>
        <v>718380</v>
      </c>
      <c r="N489" s="1">
        <v>109912.14</v>
      </c>
      <c r="O489" s="1">
        <f t="shared" si="122"/>
        <v>828292.14</v>
      </c>
      <c r="P489" s="1">
        <v>5988</v>
      </c>
      <c r="Q489" s="1">
        <f t="shared" si="123"/>
        <v>822304.14</v>
      </c>
      <c r="R489" s="1">
        <v>136968</v>
      </c>
      <c r="S489" s="1">
        <f t="shared" si="125"/>
        <v>109574.40000000001</v>
      </c>
      <c r="T489" s="1">
        <f t="shared" si="124"/>
        <v>301329.59999999998</v>
      </c>
      <c r="U489" s="1">
        <v>547872</v>
      </c>
      <c r="V489" s="1">
        <f t="shared" si="120"/>
        <v>274432.14</v>
      </c>
      <c r="W489" s="1">
        <v>4.2</v>
      </c>
    </row>
    <row r="490" spans="1:23" x14ac:dyDescent="0.25">
      <c r="A490" s="1" t="s">
        <v>327</v>
      </c>
      <c r="B490" s="1" t="s">
        <v>58</v>
      </c>
      <c r="C490" s="1" t="s">
        <v>408</v>
      </c>
      <c r="D490" s="1" t="s">
        <v>74</v>
      </c>
      <c r="E490" s="1" t="s">
        <v>56</v>
      </c>
      <c r="F490" s="1" t="s">
        <v>29</v>
      </c>
      <c r="G490" s="1" t="s">
        <v>87</v>
      </c>
      <c r="H490" s="1" t="s">
        <v>398</v>
      </c>
      <c r="I490" s="1" t="s">
        <v>395</v>
      </c>
      <c r="J490" s="1" t="s">
        <v>46</v>
      </c>
      <c r="K490" s="1">
        <v>111</v>
      </c>
      <c r="L490" s="1">
        <v>27673</v>
      </c>
      <c r="M490" s="2">
        <f t="shared" si="121"/>
        <v>3071703</v>
      </c>
      <c r="N490" s="1">
        <v>486557.76</v>
      </c>
      <c r="O490" s="1">
        <f t="shared" si="122"/>
        <v>3558260.76</v>
      </c>
      <c r="P490" s="1">
        <v>9569</v>
      </c>
      <c r="Q490" s="1">
        <f t="shared" si="123"/>
        <v>3548691.76</v>
      </c>
      <c r="R490" s="1">
        <v>543900</v>
      </c>
      <c r="S490" s="1">
        <f>U490*0.1</f>
        <v>217560</v>
      </c>
      <c r="T490" s="1">
        <f t="shared" si="124"/>
        <v>1414140</v>
      </c>
      <c r="U490" s="1">
        <v>2175600</v>
      </c>
      <c r="V490" s="1">
        <f t="shared" si="120"/>
        <v>1373091.7599999998</v>
      </c>
      <c r="W490" s="1">
        <v>4</v>
      </c>
    </row>
    <row r="491" spans="1:23" x14ac:dyDescent="0.25">
      <c r="A491" s="1" t="s">
        <v>146</v>
      </c>
      <c r="B491" s="1" t="s">
        <v>37</v>
      </c>
      <c r="C491" s="1" t="s">
        <v>408</v>
      </c>
      <c r="D491" s="1" t="s">
        <v>55</v>
      </c>
      <c r="E491" s="1" t="s">
        <v>56</v>
      </c>
      <c r="F491" s="1" t="s">
        <v>24</v>
      </c>
      <c r="G491" s="1" t="s">
        <v>25</v>
      </c>
      <c r="H491" s="1" t="s">
        <v>398</v>
      </c>
      <c r="I491" s="1" t="s">
        <v>39</v>
      </c>
      <c r="J491" s="1" t="s">
        <v>46</v>
      </c>
      <c r="K491" s="1">
        <v>152</v>
      </c>
      <c r="L491" s="1">
        <v>20821</v>
      </c>
      <c r="M491" s="2">
        <f t="shared" si="121"/>
        <v>3164792</v>
      </c>
      <c r="N491" s="1">
        <v>541179.43000000005</v>
      </c>
      <c r="O491" s="1">
        <f t="shared" si="122"/>
        <v>3705971.43</v>
      </c>
      <c r="P491" s="1">
        <v>9248</v>
      </c>
      <c r="Q491" s="1">
        <f t="shared" si="123"/>
        <v>3696723.43</v>
      </c>
      <c r="R491" s="1">
        <v>1928880</v>
      </c>
      <c r="S491" s="1">
        <f t="shared" si="125"/>
        <v>514368</v>
      </c>
      <c r="T491" s="1">
        <f t="shared" si="124"/>
        <v>128592</v>
      </c>
      <c r="U491" s="1">
        <v>2571840</v>
      </c>
      <c r="V491" s="1">
        <f t="shared" si="120"/>
        <v>1124883.4300000002</v>
      </c>
      <c r="W491" s="1">
        <v>4.9000000000000004</v>
      </c>
    </row>
    <row r="492" spans="1:23" x14ac:dyDescent="0.25">
      <c r="A492" s="1" t="s">
        <v>328</v>
      </c>
      <c r="B492" s="1" t="s">
        <v>109</v>
      </c>
      <c r="C492" s="1" t="s">
        <v>408</v>
      </c>
      <c r="D492" s="1" t="s">
        <v>78</v>
      </c>
      <c r="E492" s="1" t="s">
        <v>49</v>
      </c>
      <c r="F492" s="1" t="s">
        <v>59</v>
      </c>
      <c r="G492" s="1" t="s">
        <v>67</v>
      </c>
      <c r="H492" s="1" t="s">
        <v>398</v>
      </c>
      <c r="I492" s="1" t="s">
        <v>39</v>
      </c>
      <c r="J492" s="1" t="s">
        <v>26</v>
      </c>
      <c r="K492" s="1">
        <v>187</v>
      </c>
      <c r="L492" s="1">
        <v>12696</v>
      </c>
      <c r="M492" s="2">
        <f t="shared" si="121"/>
        <v>2374152</v>
      </c>
      <c r="N492" s="1">
        <v>376065.68</v>
      </c>
      <c r="O492" s="1">
        <f t="shared" si="122"/>
        <v>2750217.68</v>
      </c>
      <c r="P492" s="1">
        <v>6155</v>
      </c>
      <c r="Q492" s="1">
        <f t="shared" si="123"/>
        <v>2744062.68</v>
      </c>
      <c r="R492" s="1">
        <f>0.7*U492</f>
        <v>1162653.7999999998</v>
      </c>
      <c r="S492" s="1">
        <f t="shared" si="125"/>
        <v>332186.80000000005</v>
      </c>
      <c r="T492" s="1">
        <f t="shared" si="124"/>
        <v>166093.40000000014</v>
      </c>
      <c r="U492" s="1">
        <v>1660934</v>
      </c>
      <c r="V492" s="1">
        <f t="shared" si="120"/>
        <v>1083128.6800000002</v>
      </c>
      <c r="W492" s="1">
        <v>3.7</v>
      </c>
    </row>
    <row r="493" spans="1:23" x14ac:dyDescent="0.25">
      <c r="A493" s="1" t="s">
        <v>116</v>
      </c>
      <c r="B493" s="1" t="s">
        <v>34</v>
      </c>
      <c r="C493" s="1" t="s">
        <v>408</v>
      </c>
      <c r="D493" s="1" t="s">
        <v>55</v>
      </c>
      <c r="E493" s="1" t="s">
        <v>56</v>
      </c>
      <c r="F493" s="1" t="s">
        <v>24</v>
      </c>
      <c r="G493" s="1" t="s">
        <v>119</v>
      </c>
      <c r="H493" s="1" t="s">
        <v>399</v>
      </c>
      <c r="I493" s="1" t="s">
        <v>395</v>
      </c>
      <c r="J493" s="1" t="s">
        <v>26</v>
      </c>
      <c r="K493" s="1">
        <v>34</v>
      </c>
      <c r="L493" s="1">
        <v>13192</v>
      </c>
      <c r="M493" s="2">
        <f t="shared" si="121"/>
        <v>448528</v>
      </c>
      <c r="N493" s="1">
        <v>80735.039999999994</v>
      </c>
      <c r="O493" s="1">
        <f t="shared" si="122"/>
        <v>529263.04</v>
      </c>
      <c r="P493" s="1">
        <v>5167</v>
      </c>
      <c r="Q493" s="1">
        <f t="shared" si="123"/>
        <v>524096.04000000004</v>
      </c>
      <c r="R493" s="1">
        <v>238909.5</v>
      </c>
      <c r="S493" s="1">
        <f t="shared" si="125"/>
        <v>63709.200000000004</v>
      </c>
      <c r="T493" s="1">
        <f t="shared" si="124"/>
        <v>15927.299999999988</v>
      </c>
      <c r="U493" s="1">
        <v>318546</v>
      </c>
      <c r="V493" s="1">
        <f t="shared" si="120"/>
        <v>205550.04000000004</v>
      </c>
      <c r="W493" s="1">
        <v>4.5999999999999996</v>
      </c>
    </row>
    <row r="494" spans="1:23" x14ac:dyDescent="0.25">
      <c r="A494" s="1" t="s">
        <v>317</v>
      </c>
      <c r="B494" s="1" t="s">
        <v>28</v>
      </c>
      <c r="C494" s="1" t="s">
        <v>408</v>
      </c>
      <c r="D494" s="1" t="s">
        <v>62</v>
      </c>
      <c r="E494" s="1" t="s">
        <v>43</v>
      </c>
      <c r="F494" s="1" t="s">
        <v>24</v>
      </c>
      <c r="G494" s="1" t="s">
        <v>44</v>
      </c>
      <c r="H494" s="1" t="s">
        <v>399</v>
      </c>
      <c r="I494" s="1" t="s">
        <v>19</v>
      </c>
      <c r="J494" s="1" t="s">
        <v>46</v>
      </c>
      <c r="K494" s="1">
        <v>151</v>
      </c>
      <c r="L494" s="1">
        <v>26151</v>
      </c>
      <c r="M494" s="2">
        <f t="shared" si="121"/>
        <v>3948801</v>
      </c>
      <c r="N494" s="1">
        <v>653921.44999999995</v>
      </c>
      <c r="O494" s="1">
        <f t="shared" si="122"/>
        <v>4602722.45</v>
      </c>
      <c r="P494" s="1">
        <v>9673</v>
      </c>
      <c r="Q494" s="1">
        <f t="shared" si="123"/>
        <v>4593049.45</v>
      </c>
      <c r="R494" s="1">
        <v>1334462.5</v>
      </c>
      <c r="S494" s="1">
        <f t="shared" si="125"/>
        <v>533785</v>
      </c>
      <c r="T494" s="1">
        <f t="shared" si="124"/>
        <v>800677.5</v>
      </c>
      <c r="U494" s="1">
        <v>2668925</v>
      </c>
      <c r="V494" s="1">
        <f t="shared" si="120"/>
        <v>1924124.4500000002</v>
      </c>
      <c r="W494" s="1">
        <v>4.0999999999999996</v>
      </c>
    </row>
    <row r="495" spans="1:23" x14ac:dyDescent="0.25">
      <c r="A495" s="1" t="s">
        <v>329</v>
      </c>
      <c r="B495" s="1" t="s">
        <v>51</v>
      </c>
      <c r="C495" s="1" t="s">
        <v>408</v>
      </c>
      <c r="D495" s="1" t="s">
        <v>15</v>
      </c>
      <c r="E495" s="1" t="s">
        <v>16</v>
      </c>
      <c r="F495" s="1" t="s">
        <v>59</v>
      </c>
      <c r="G495" s="1" t="s">
        <v>85</v>
      </c>
      <c r="H495" s="1" t="s">
        <v>399</v>
      </c>
      <c r="I495" s="1" t="s">
        <v>39</v>
      </c>
      <c r="J495" s="1" t="s">
        <v>26</v>
      </c>
      <c r="K495" s="1">
        <v>39</v>
      </c>
      <c r="L495" s="1">
        <v>15578</v>
      </c>
      <c r="M495" s="2">
        <f t="shared" si="121"/>
        <v>607542</v>
      </c>
      <c r="N495" s="1">
        <v>92953.93</v>
      </c>
      <c r="O495" s="1">
        <f t="shared" si="122"/>
        <v>700495.92999999993</v>
      </c>
      <c r="P495" s="1">
        <v>6243</v>
      </c>
      <c r="Q495" s="1">
        <f t="shared" si="123"/>
        <v>694252.92999999993</v>
      </c>
      <c r="R495" s="1">
        <f>0.7*U495</f>
        <v>353753.39999999997</v>
      </c>
      <c r="S495" s="1">
        <f t="shared" si="125"/>
        <v>101072.40000000001</v>
      </c>
      <c r="T495" s="1">
        <f t="shared" si="124"/>
        <v>50536.200000000012</v>
      </c>
      <c r="U495" s="1">
        <v>505362</v>
      </c>
      <c r="V495" s="1">
        <f t="shared" si="120"/>
        <v>188890.92999999993</v>
      </c>
      <c r="W495" s="1">
        <v>4.5</v>
      </c>
    </row>
    <row r="496" spans="1:23" x14ac:dyDescent="0.25">
      <c r="A496" s="1" t="s">
        <v>276</v>
      </c>
      <c r="B496" s="1" t="s">
        <v>21</v>
      </c>
      <c r="C496" s="1" t="s">
        <v>408</v>
      </c>
      <c r="D496" s="1" t="s">
        <v>78</v>
      </c>
      <c r="E496" s="1" t="s">
        <v>49</v>
      </c>
      <c r="F496" s="1" t="s">
        <v>24</v>
      </c>
      <c r="G496" s="1" t="s">
        <v>119</v>
      </c>
      <c r="H496" s="1" t="s">
        <v>398</v>
      </c>
      <c r="I496" s="1" t="s">
        <v>395</v>
      </c>
      <c r="J496" s="1" t="s">
        <v>46</v>
      </c>
      <c r="K496" s="1">
        <v>130</v>
      </c>
      <c r="L496" s="1">
        <v>2442</v>
      </c>
      <c r="M496" s="2">
        <f t="shared" si="121"/>
        <v>317460</v>
      </c>
      <c r="N496" s="1">
        <v>54285.66</v>
      </c>
      <c r="O496" s="1">
        <f t="shared" si="122"/>
        <v>371745.66000000003</v>
      </c>
      <c r="P496" s="1">
        <v>5042</v>
      </c>
      <c r="Q496" s="1">
        <f t="shared" si="123"/>
        <v>366703.66000000003</v>
      </c>
      <c r="R496" s="1">
        <v>117910</v>
      </c>
      <c r="S496" s="1">
        <f t="shared" si="125"/>
        <v>47164</v>
      </c>
      <c r="T496" s="1">
        <f t="shared" si="124"/>
        <v>70746</v>
      </c>
      <c r="U496" s="1">
        <v>235820</v>
      </c>
      <c r="V496" s="1">
        <f t="shared" si="120"/>
        <v>130883.66000000003</v>
      </c>
      <c r="W496" s="1">
        <v>3.8</v>
      </c>
    </row>
    <row r="497" spans="1:23" x14ac:dyDescent="0.25">
      <c r="A497" s="1" t="s">
        <v>186</v>
      </c>
      <c r="B497" s="1" t="s">
        <v>51</v>
      </c>
      <c r="C497" s="1" t="s">
        <v>408</v>
      </c>
      <c r="D497" s="1" t="s">
        <v>48</v>
      </c>
      <c r="E497" s="1" t="s">
        <v>49</v>
      </c>
      <c r="F497" s="1" t="s">
        <v>17</v>
      </c>
      <c r="G497" s="1" t="s">
        <v>35</v>
      </c>
      <c r="H497" s="1" t="s">
        <v>398</v>
      </c>
      <c r="I497" s="1" t="s">
        <v>396</v>
      </c>
      <c r="J497" s="1" t="s">
        <v>46</v>
      </c>
      <c r="K497" s="1">
        <v>50</v>
      </c>
      <c r="L497" s="1">
        <v>18925</v>
      </c>
      <c r="M497" s="2">
        <f t="shared" si="121"/>
        <v>946250</v>
      </c>
      <c r="N497" s="1">
        <v>144776.25</v>
      </c>
      <c r="O497" s="1">
        <f t="shared" si="122"/>
        <v>1091026.25</v>
      </c>
      <c r="P497" s="1">
        <v>7200</v>
      </c>
      <c r="Q497" s="1">
        <f t="shared" si="123"/>
        <v>1083826.25</v>
      </c>
      <c r="R497" s="1">
        <f>0.62*U497</f>
        <v>388740</v>
      </c>
      <c r="S497" s="1">
        <f>U497*0.2</f>
        <v>125400</v>
      </c>
      <c r="T497" s="1">
        <f t="shared" si="124"/>
        <v>112860</v>
      </c>
      <c r="U497" s="1">
        <v>627000</v>
      </c>
      <c r="V497" s="1">
        <f t="shared" si="120"/>
        <v>456826.25</v>
      </c>
      <c r="W497" s="1">
        <v>3.8</v>
      </c>
    </row>
    <row r="498" spans="1:23" x14ac:dyDescent="0.25">
      <c r="A498" s="1" t="s">
        <v>105</v>
      </c>
      <c r="B498" s="1" t="s">
        <v>32</v>
      </c>
      <c r="C498" s="1" t="s">
        <v>408</v>
      </c>
      <c r="D498" s="1" t="s">
        <v>15</v>
      </c>
      <c r="E498" s="1" t="s">
        <v>16</v>
      </c>
      <c r="F498" s="1" t="s">
        <v>24</v>
      </c>
      <c r="G498" s="1" t="s">
        <v>44</v>
      </c>
      <c r="H498" s="1" t="s">
        <v>399</v>
      </c>
      <c r="I498" s="1" t="s">
        <v>19</v>
      </c>
      <c r="J498" s="1" t="s">
        <v>46</v>
      </c>
      <c r="K498" s="1">
        <v>45</v>
      </c>
      <c r="L498" s="1">
        <v>4017</v>
      </c>
      <c r="M498" s="2">
        <f t="shared" si="121"/>
        <v>180765</v>
      </c>
      <c r="N498" s="1">
        <v>32537.7</v>
      </c>
      <c r="O498" s="1">
        <f t="shared" si="122"/>
        <v>213302.7</v>
      </c>
      <c r="P498" s="1">
        <v>7884</v>
      </c>
      <c r="Q498" s="1">
        <f t="shared" si="123"/>
        <v>205418.7</v>
      </c>
      <c r="R498" s="1">
        <v>90045</v>
      </c>
      <c r="S498" s="1">
        <f t="shared" si="125"/>
        <v>24012</v>
      </c>
      <c r="T498" s="1">
        <f t="shared" si="124"/>
        <v>6003</v>
      </c>
      <c r="U498" s="1">
        <v>120060</v>
      </c>
      <c r="V498" s="1">
        <f t="shared" si="120"/>
        <v>85358.700000000012</v>
      </c>
      <c r="W498" s="1">
        <v>4.5999999999999996</v>
      </c>
    </row>
    <row r="499" spans="1:23" x14ac:dyDescent="0.25">
      <c r="A499" s="1" t="s">
        <v>272</v>
      </c>
      <c r="B499" s="1" t="s">
        <v>21</v>
      </c>
      <c r="C499" s="1" t="s">
        <v>408</v>
      </c>
      <c r="D499" s="1" t="s">
        <v>78</v>
      </c>
      <c r="E499" s="1" t="s">
        <v>49</v>
      </c>
      <c r="F499" s="1" t="s">
        <v>24</v>
      </c>
      <c r="G499" s="1" t="s">
        <v>44</v>
      </c>
      <c r="H499" s="1" t="s">
        <v>399</v>
      </c>
      <c r="I499" s="1" t="s">
        <v>395</v>
      </c>
      <c r="J499" s="1" t="s">
        <v>46</v>
      </c>
      <c r="K499" s="1">
        <v>72</v>
      </c>
      <c r="L499" s="1">
        <v>31169</v>
      </c>
      <c r="M499" s="2">
        <f t="shared" si="121"/>
        <v>2244168</v>
      </c>
      <c r="N499" s="1">
        <v>383752.73</v>
      </c>
      <c r="O499" s="1">
        <f t="shared" si="122"/>
        <v>2627920.73</v>
      </c>
      <c r="P499" s="1">
        <v>8963</v>
      </c>
      <c r="Q499" s="1">
        <f t="shared" si="123"/>
        <v>2618957.73</v>
      </c>
      <c r="R499" s="1">
        <v>835848</v>
      </c>
      <c r="S499" s="1">
        <f t="shared" si="125"/>
        <v>334339.20000000001</v>
      </c>
      <c r="T499" s="1">
        <f t="shared" si="124"/>
        <v>501508.80000000005</v>
      </c>
      <c r="U499" s="1">
        <v>1671696</v>
      </c>
      <c r="V499" s="1">
        <f t="shared" si="120"/>
        <v>947261.73</v>
      </c>
      <c r="W499" s="1">
        <v>4.8</v>
      </c>
    </row>
    <row r="500" spans="1:23" x14ac:dyDescent="0.25">
      <c r="A500" s="1" t="s">
        <v>114</v>
      </c>
      <c r="B500" s="1" t="s">
        <v>69</v>
      </c>
      <c r="C500" s="1" t="s">
        <v>408</v>
      </c>
      <c r="D500" s="1" t="s">
        <v>48</v>
      </c>
      <c r="E500" s="1" t="s">
        <v>49</v>
      </c>
      <c r="F500" s="1" t="s">
        <v>24</v>
      </c>
      <c r="G500" s="1" t="s">
        <v>44</v>
      </c>
      <c r="H500" s="1" t="s">
        <v>398</v>
      </c>
      <c r="I500" s="1" t="s">
        <v>397</v>
      </c>
      <c r="J500" s="1" t="s">
        <v>46</v>
      </c>
      <c r="K500" s="1">
        <v>61</v>
      </c>
      <c r="L500" s="1">
        <v>21709</v>
      </c>
      <c r="M500" s="2">
        <f t="shared" si="121"/>
        <v>1324249</v>
      </c>
      <c r="N500" s="1">
        <v>209761.04</v>
      </c>
      <c r="O500" s="1">
        <f t="shared" si="122"/>
        <v>1534010.04</v>
      </c>
      <c r="P500" s="1">
        <v>8297</v>
      </c>
      <c r="Q500" s="1">
        <f t="shared" si="123"/>
        <v>1525713.04</v>
      </c>
      <c r="R500" s="1">
        <v>271053.5</v>
      </c>
      <c r="S500" s="1">
        <f t="shared" si="125"/>
        <v>216842.80000000002</v>
      </c>
      <c r="T500" s="1">
        <f t="shared" si="124"/>
        <v>596317.69999999995</v>
      </c>
      <c r="U500" s="1">
        <v>1084214</v>
      </c>
      <c r="V500" s="1">
        <f t="shared" si="120"/>
        <v>441499.04000000004</v>
      </c>
      <c r="W500" s="1">
        <v>3.6</v>
      </c>
    </row>
    <row r="501" spans="1:23" x14ac:dyDescent="0.25">
      <c r="A501" s="1" t="s">
        <v>330</v>
      </c>
      <c r="B501" s="1" t="s">
        <v>51</v>
      </c>
      <c r="C501" s="1" t="s">
        <v>408</v>
      </c>
      <c r="D501" s="1" t="s">
        <v>74</v>
      </c>
      <c r="E501" s="1" t="s">
        <v>56</v>
      </c>
      <c r="F501" s="1" t="s">
        <v>59</v>
      </c>
      <c r="G501" s="1" t="s">
        <v>60</v>
      </c>
      <c r="H501" s="1" t="s">
        <v>398</v>
      </c>
      <c r="I501" s="1" t="s">
        <v>396</v>
      </c>
      <c r="J501" s="1" t="s">
        <v>26</v>
      </c>
      <c r="K501" s="1">
        <v>81</v>
      </c>
      <c r="L501" s="1">
        <v>10441</v>
      </c>
      <c r="M501" s="2">
        <f t="shared" si="121"/>
        <v>845721</v>
      </c>
      <c r="N501" s="1">
        <v>129395.31</v>
      </c>
      <c r="O501" s="1">
        <f t="shared" si="122"/>
        <v>975116.31</v>
      </c>
      <c r="P501" s="1">
        <v>9161</v>
      </c>
      <c r="Q501" s="1">
        <f t="shared" si="123"/>
        <v>965955.31</v>
      </c>
      <c r="R501" s="1">
        <f t="shared" ref="R501:R503" si="128">0.7*U501</f>
        <v>414193.5</v>
      </c>
      <c r="S501" s="1">
        <f t="shared" si="125"/>
        <v>118341</v>
      </c>
      <c r="T501" s="1">
        <f t="shared" si="124"/>
        <v>59170.5</v>
      </c>
      <c r="U501" s="1">
        <v>591705</v>
      </c>
      <c r="V501" s="1">
        <f t="shared" si="120"/>
        <v>374250.31000000006</v>
      </c>
      <c r="W501" s="1">
        <v>4.4000000000000004</v>
      </c>
    </row>
    <row r="502" spans="1:23" x14ac:dyDescent="0.25">
      <c r="A502" s="1" t="s">
        <v>157</v>
      </c>
      <c r="B502" s="1" t="s">
        <v>51</v>
      </c>
      <c r="C502" s="1" t="s">
        <v>408</v>
      </c>
      <c r="D502" s="1" t="s">
        <v>22</v>
      </c>
      <c r="E502" s="1" t="s">
        <v>23</v>
      </c>
      <c r="F502" s="1" t="s">
        <v>59</v>
      </c>
      <c r="G502" s="1" t="s">
        <v>67</v>
      </c>
      <c r="H502" s="1" t="s">
        <v>398</v>
      </c>
      <c r="I502" s="1" t="s">
        <v>39</v>
      </c>
      <c r="J502" s="1" t="s">
        <v>26</v>
      </c>
      <c r="K502" s="1">
        <v>47</v>
      </c>
      <c r="L502" s="1">
        <v>15230</v>
      </c>
      <c r="M502" s="2">
        <f t="shared" si="121"/>
        <v>715810</v>
      </c>
      <c r="N502" s="1">
        <v>109518.93</v>
      </c>
      <c r="O502" s="1">
        <f t="shared" si="122"/>
        <v>825328.92999999993</v>
      </c>
      <c r="P502" s="1">
        <v>8580</v>
      </c>
      <c r="Q502" s="1">
        <f t="shared" si="123"/>
        <v>816748.92999999993</v>
      </c>
      <c r="R502" s="1">
        <f t="shared" si="128"/>
        <v>378382.89999999997</v>
      </c>
      <c r="S502" s="1">
        <f t="shared" si="125"/>
        <v>108109.40000000001</v>
      </c>
      <c r="T502" s="1">
        <f t="shared" si="124"/>
        <v>54054.700000000012</v>
      </c>
      <c r="U502" s="1">
        <v>540547</v>
      </c>
      <c r="V502" s="1">
        <f t="shared" si="120"/>
        <v>276201.92999999993</v>
      </c>
      <c r="W502" s="1">
        <v>4.4000000000000004</v>
      </c>
    </row>
    <row r="503" spans="1:23" x14ac:dyDescent="0.25">
      <c r="A503" s="1" t="s">
        <v>241</v>
      </c>
      <c r="B503" s="1" t="s">
        <v>77</v>
      </c>
      <c r="C503" s="1" t="s">
        <v>408</v>
      </c>
      <c r="D503" s="1" t="s">
        <v>52</v>
      </c>
      <c r="E503" s="1" t="s">
        <v>23</v>
      </c>
      <c r="F503" s="1" t="s">
        <v>59</v>
      </c>
      <c r="G503" s="1" t="s">
        <v>85</v>
      </c>
      <c r="H503" s="1" t="s">
        <v>398</v>
      </c>
      <c r="I503" s="1" t="s">
        <v>397</v>
      </c>
      <c r="J503" s="1" t="s">
        <v>26</v>
      </c>
      <c r="K503" s="1">
        <v>22</v>
      </c>
      <c r="L503" s="1">
        <v>29135</v>
      </c>
      <c r="M503" s="2">
        <f t="shared" si="121"/>
        <v>640970</v>
      </c>
      <c r="N503" s="1">
        <v>109605.87</v>
      </c>
      <c r="O503" s="1">
        <f t="shared" si="122"/>
        <v>750575.87</v>
      </c>
      <c r="P503" s="1">
        <v>7590</v>
      </c>
      <c r="Q503" s="1">
        <f t="shared" si="123"/>
        <v>742985.87</v>
      </c>
      <c r="R503" s="1">
        <f t="shared" si="128"/>
        <v>344667.39999999997</v>
      </c>
      <c r="S503" s="1">
        <f t="shared" si="125"/>
        <v>98476.400000000009</v>
      </c>
      <c r="T503" s="1">
        <f t="shared" si="124"/>
        <v>49238.200000000012</v>
      </c>
      <c r="U503" s="1">
        <v>492382</v>
      </c>
      <c r="V503" s="1">
        <f t="shared" si="120"/>
        <v>250603.87</v>
      </c>
      <c r="W503" s="1">
        <v>4.5999999999999996</v>
      </c>
    </row>
    <row r="504" spans="1:23" x14ac:dyDescent="0.25">
      <c r="A504" s="1" t="s">
        <v>272</v>
      </c>
      <c r="B504" s="1" t="s">
        <v>28</v>
      </c>
      <c r="C504" s="1" t="s">
        <v>408</v>
      </c>
      <c r="D504" s="1" t="s">
        <v>52</v>
      </c>
      <c r="E504" s="1" t="s">
        <v>23</v>
      </c>
      <c r="F504" s="1" t="s">
        <v>24</v>
      </c>
      <c r="G504" s="1" t="s">
        <v>44</v>
      </c>
      <c r="H504" s="1" t="s">
        <v>398</v>
      </c>
      <c r="I504" s="1" t="s">
        <v>39</v>
      </c>
      <c r="J504" s="1" t="s">
        <v>26</v>
      </c>
      <c r="K504" s="1">
        <v>162</v>
      </c>
      <c r="L504" s="1">
        <v>27903</v>
      </c>
      <c r="M504" s="2">
        <f t="shared" si="121"/>
        <v>4520286</v>
      </c>
      <c r="N504" s="1">
        <v>748559.35999999999</v>
      </c>
      <c r="O504" s="1">
        <f t="shared" si="122"/>
        <v>5268845.3600000003</v>
      </c>
      <c r="P504" s="1">
        <v>7017</v>
      </c>
      <c r="Q504" s="1">
        <f t="shared" si="123"/>
        <v>5261828.3600000003</v>
      </c>
      <c r="R504" s="1">
        <v>797809.5</v>
      </c>
      <c r="S504" s="1">
        <f t="shared" si="125"/>
        <v>638247.60000000009</v>
      </c>
      <c r="T504" s="1">
        <f t="shared" si="124"/>
        <v>1755180.9</v>
      </c>
      <c r="U504" s="1">
        <v>3191238</v>
      </c>
      <c r="V504" s="1">
        <f t="shared" si="120"/>
        <v>2070590.3600000003</v>
      </c>
      <c r="W504" s="1">
        <v>4.5999999999999996</v>
      </c>
    </row>
    <row r="505" spans="1:23" x14ac:dyDescent="0.25">
      <c r="A505" s="1" t="s">
        <v>156</v>
      </c>
      <c r="B505" s="1" t="s">
        <v>21</v>
      </c>
      <c r="C505" s="1" t="s">
        <v>408</v>
      </c>
      <c r="D505" s="1" t="s">
        <v>55</v>
      </c>
      <c r="E505" s="1" t="s">
        <v>56</v>
      </c>
      <c r="F505" s="1" t="s">
        <v>29</v>
      </c>
      <c r="G505" s="1" t="s">
        <v>30</v>
      </c>
      <c r="H505" s="1" t="s">
        <v>398</v>
      </c>
      <c r="I505" s="1" t="s">
        <v>39</v>
      </c>
      <c r="J505" s="1" t="s">
        <v>26</v>
      </c>
      <c r="K505" s="1">
        <v>47</v>
      </c>
      <c r="L505" s="1">
        <v>3039</v>
      </c>
      <c r="M505" s="2">
        <f t="shared" si="121"/>
        <v>142833</v>
      </c>
      <c r="N505" s="1">
        <v>22624.75</v>
      </c>
      <c r="O505" s="1">
        <f t="shared" si="122"/>
        <v>165457.75</v>
      </c>
      <c r="P505" s="1">
        <v>5734</v>
      </c>
      <c r="Q505" s="1">
        <f t="shared" si="123"/>
        <v>159723.75</v>
      </c>
      <c r="R505" s="1">
        <v>45801.5</v>
      </c>
      <c r="S505" s="1">
        <f>U505*0.1</f>
        <v>9160.3000000000011</v>
      </c>
      <c r="T505" s="1">
        <f t="shared" si="124"/>
        <v>36641.199999999997</v>
      </c>
      <c r="U505" s="1">
        <v>91603</v>
      </c>
      <c r="V505" s="1">
        <f t="shared" si="120"/>
        <v>68120.75</v>
      </c>
      <c r="W505" s="1">
        <v>3.7</v>
      </c>
    </row>
    <row r="506" spans="1:23" x14ac:dyDescent="0.25">
      <c r="A506" s="1" t="s">
        <v>182</v>
      </c>
      <c r="B506" s="1" t="s">
        <v>58</v>
      </c>
      <c r="C506" s="1" t="s">
        <v>408</v>
      </c>
      <c r="D506" s="1" t="s">
        <v>78</v>
      </c>
      <c r="E506" s="1" t="s">
        <v>49</v>
      </c>
      <c r="F506" s="1" t="s">
        <v>24</v>
      </c>
      <c r="G506" s="1" t="s">
        <v>63</v>
      </c>
      <c r="H506" s="1" t="s">
        <v>398</v>
      </c>
      <c r="I506" s="1" t="s">
        <v>39</v>
      </c>
      <c r="J506" s="1" t="s">
        <v>46</v>
      </c>
      <c r="K506" s="1">
        <v>192</v>
      </c>
      <c r="L506" s="1">
        <v>22617</v>
      </c>
      <c r="M506" s="2">
        <f t="shared" si="121"/>
        <v>4342464</v>
      </c>
      <c r="N506" s="1">
        <v>664396.99</v>
      </c>
      <c r="O506" s="1">
        <f t="shared" si="122"/>
        <v>5006860.99</v>
      </c>
      <c r="P506" s="1">
        <v>6697</v>
      </c>
      <c r="Q506" s="1">
        <f t="shared" si="123"/>
        <v>5000163.99</v>
      </c>
      <c r="R506" s="1">
        <v>771936</v>
      </c>
      <c r="S506" s="1">
        <f t="shared" si="125"/>
        <v>617548.80000000005</v>
      </c>
      <c r="T506" s="1">
        <f t="shared" si="124"/>
        <v>1698259.2000000002</v>
      </c>
      <c r="U506" s="1">
        <v>3087744</v>
      </c>
      <c r="V506" s="1">
        <f t="shared" si="120"/>
        <v>1912419.9900000002</v>
      </c>
      <c r="W506" s="1">
        <v>3.6</v>
      </c>
    </row>
    <row r="507" spans="1:23" x14ac:dyDescent="0.25">
      <c r="A507" s="1" t="s">
        <v>331</v>
      </c>
      <c r="B507" s="1" t="s">
        <v>58</v>
      </c>
      <c r="C507" s="1" t="s">
        <v>408</v>
      </c>
      <c r="D507" s="1" t="s">
        <v>55</v>
      </c>
      <c r="E507" s="1" t="s">
        <v>56</v>
      </c>
      <c r="F507" s="1" t="s">
        <v>29</v>
      </c>
      <c r="G507" s="1" t="s">
        <v>91</v>
      </c>
      <c r="H507" s="1" t="s">
        <v>398</v>
      </c>
      <c r="I507" s="1" t="s">
        <v>19</v>
      </c>
      <c r="J507" s="1" t="s">
        <v>26</v>
      </c>
      <c r="K507" s="1">
        <v>141</v>
      </c>
      <c r="L507" s="1">
        <v>5962</v>
      </c>
      <c r="M507" s="2">
        <f t="shared" si="121"/>
        <v>840642</v>
      </c>
      <c r="N507" s="1">
        <v>128618.23</v>
      </c>
      <c r="O507" s="1">
        <f t="shared" si="122"/>
        <v>969260.23</v>
      </c>
      <c r="P507" s="1">
        <v>9534</v>
      </c>
      <c r="Q507" s="1">
        <f t="shared" si="123"/>
        <v>959726.23</v>
      </c>
      <c r="R507" s="1">
        <v>397831.5</v>
      </c>
      <c r="S507" s="1">
        <f>U507*0.1</f>
        <v>53044.200000000004</v>
      </c>
      <c r="T507" s="1">
        <f t="shared" si="124"/>
        <v>79566.299999999988</v>
      </c>
      <c r="U507" s="1">
        <v>530442</v>
      </c>
      <c r="V507" s="1">
        <f t="shared" si="120"/>
        <v>429284.23</v>
      </c>
      <c r="W507" s="1">
        <v>4.2</v>
      </c>
    </row>
    <row r="508" spans="1:23" x14ac:dyDescent="0.25">
      <c r="A508" s="1" t="s">
        <v>79</v>
      </c>
      <c r="B508" s="1" t="s">
        <v>109</v>
      </c>
      <c r="C508" s="1" t="s">
        <v>408</v>
      </c>
      <c r="D508" s="1" t="s">
        <v>62</v>
      </c>
      <c r="E508" s="1" t="s">
        <v>43</v>
      </c>
      <c r="F508" s="1" t="s">
        <v>59</v>
      </c>
      <c r="G508" s="1" t="s">
        <v>60</v>
      </c>
      <c r="H508" s="1" t="s">
        <v>398</v>
      </c>
      <c r="I508" s="1" t="s">
        <v>396</v>
      </c>
      <c r="J508" s="1" t="s">
        <v>26</v>
      </c>
      <c r="K508" s="1">
        <v>117</v>
      </c>
      <c r="L508" s="1">
        <v>12181</v>
      </c>
      <c r="M508" s="2">
        <f t="shared" si="121"/>
        <v>1425177</v>
      </c>
      <c r="N508" s="1">
        <v>256531.86</v>
      </c>
      <c r="O508" s="1">
        <f t="shared" si="122"/>
        <v>1681708.8599999999</v>
      </c>
      <c r="P508" s="1">
        <v>9186</v>
      </c>
      <c r="Q508" s="1">
        <f t="shared" si="123"/>
        <v>1672522.8599999999</v>
      </c>
      <c r="R508" s="1">
        <f t="shared" ref="R508:R509" si="129">0.7*U508</f>
        <v>730957.5</v>
      </c>
      <c r="S508" s="1">
        <f t="shared" si="125"/>
        <v>208845</v>
      </c>
      <c r="T508" s="1">
        <f t="shared" si="124"/>
        <v>104422.5</v>
      </c>
      <c r="U508" s="1">
        <v>1044225</v>
      </c>
      <c r="V508" s="1">
        <f t="shared" si="120"/>
        <v>628297.85999999987</v>
      </c>
      <c r="W508" s="1">
        <v>4.5</v>
      </c>
    </row>
    <row r="509" spans="1:23" x14ac:dyDescent="0.25">
      <c r="A509" s="1" t="s">
        <v>54</v>
      </c>
      <c r="B509" s="1" t="s">
        <v>51</v>
      </c>
      <c r="C509" s="1" t="s">
        <v>408</v>
      </c>
      <c r="D509" s="1" t="s">
        <v>48</v>
      </c>
      <c r="E509" s="1" t="s">
        <v>49</v>
      </c>
      <c r="F509" s="1" t="s">
        <v>59</v>
      </c>
      <c r="G509" s="1" t="s">
        <v>121</v>
      </c>
      <c r="H509" s="1" t="s">
        <v>399</v>
      </c>
      <c r="I509" s="1" t="s">
        <v>397</v>
      </c>
      <c r="J509" s="1" t="s">
        <v>26</v>
      </c>
      <c r="K509" s="1">
        <v>184</v>
      </c>
      <c r="L509" s="1">
        <v>6930</v>
      </c>
      <c r="M509" s="2">
        <f t="shared" si="121"/>
        <v>1275120</v>
      </c>
      <c r="N509" s="1">
        <v>211159.87</v>
      </c>
      <c r="O509" s="1">
        <f t="shared" si="122"/>
        <v>1486279.87</v>
      </c>
      <c r="P509" s="1">
        <v>8657</v>
      </c>
      <c r="Q509" s="1">
        <f t="shared" si="123"/>
        <v>1477622.87</v>
      </c>
      <c r="R509" s="1">
        <f t="shared" si="129"/>
        <v>594669.6</v>
      </c>
      <c r="S509" s="1">
        <f t="shared" si="125"/>
        <v>169905.6</v>
      </c>
      <c r="T509" s="1">
        <f t="shared" si="124"/>
        <v>84952.800000000047</v>
      </c>
      <c r="U509" s="1">
        <v>849528</v>
      </c>
      <c r="V509" s="1">
        <f t="shared" si="120"/>
        <v>628094.87000000011</v>
      </c>
      <c r="W509" s="1">
        <v>3.7</v>
      </c>
    </row>
    <row r="510" spans="1:23" x14ac:dyDescent="0.25">
      <c r="A510" s="1" t="s">
        <v>164</v>
      </c>
      <c r="B510" s="1" t="s">
        <v>58</v>
      </c>
      <c r="C510" s="1" t="s">
        <v>408</v>
      </c>
      <c r="D510" s="1" t="s">
        <v>48</v>
      </c>
      <c r="E510" s="1" t="s">
        <v>49</v>
      </c>
      <c r="F510" s="1" t="s">
        <v>17</v>
      </c>
      <c r="G510" s="1" t="s">
        <v>18</v>
      </c>
      <c r="H510" s="1" t="s">
        <v>399</v>
      </c>
      <c r="I510" s="1" t="s">
        <v>19</v>
      </c>
      <c r="J510" s="1" t="s">
        <v>46</v>
      </c>
      <c r="K510" s="1">
        <v>109</v>
      </c>
      <c r="L510" s="1">
        <v>17914</v>
      </c>
      <c r="M510" s="2">
        <f t="shared" si="121"/>
        <v>1952626</v>
      </c>
      <c r="N510" s="1">
        <v>323354.87</v>
      </c>
      <c r="O510" s="1">
        <f t="shared" si="122"/>
        <v>2275980.87</v>
      </c>
      <c r="P510" s="1">
        <v>8771</v>
      </c>
      <c r="Q510" s="1">
        <f t="shared" si="123"/>
        <v>2267209.87</v>
      </c>
      <c r="R510" s="1">
        <f>0.62*U510</f>
        <v>763316.1</v>
      </c>
      <c r="S510" s="1">
        <f>U510*0.2</f>
        <v>246231</v>
      </c>
      <c r="T510" s="1">
        <f t="shared" si="124"/>
        <v>221607.90000000002</v>
      </c>
      <c r="U510" s="1">
        <v>1231155</v>
      </c>
      <c r="V510" s="1">
        <f t="shared" si="120"/>
        <v>1036054.8700000001</v>
      </c>
      <c r="W510" s="1">
        <v>4.5999999999999996</v>
      </c>
    </row>
    <row r="511" spans="1:23" x14ac:dyDescent="0.25">
      <c r="A511" s="1" t="s">
        <v>301</v>
      </c>
      <c r="B511" s="1" t="s">
        <v>51</v>
      </c>
      <c r="C511" s="1" t="s">
        <v>408</v>
      </c>
      <c r="D511" s="1" t="s">
        <v>55</v>
      </c>
      <c r="E511" s="1" t="s">
        <v>56</v>
      </c>
      <c r="F511" s="1" t="s">
        <v>59</v>
      </c>
      <c r="G511" s="1" t="s">
        <v>60</v>
      </c>
      <c r="H511" s="1" t="s">
        <v>398</v>
      </c>
      <c r="I511" s="1" t="s">
        <v>39</v>
      </c>
      <c r="J511" s="1" t="s">
        <v>46</v>
      </c>
      <c r="K511" s="1">
        <v>95</v>
      </c>
      <c r="L511" s="1">
        <v>35163</v>
      </c>
      <c r="M511" s="2">
        <f t="shared" si="121"/>
        <v>3340485</v>
      </c>
      <c r="N511" s="1">
        <v>601287.30000000005</v>
      </c>
      <c r="O511" s="1">
        <f t="shared" si="122"/>
        <v>3941772.3</v>
      </c>
      <c r="P511" s="1">
        <v>5105</v>
      </c>
      <c r="Q511" s="1">
        <f t="shared" si="123"/>
        <v>3936667.3</v>
      </c>
      <c r="R511" s="1">
        <f>0.7*U511</f>
        <v>1580771.5</v>
      </c>
      <c r="S511" s="1">
        <f t="shared" si="125"/>
        <v>451649</v>
      </c>
      <c r="T511" s="1">
        <f t="shared" si="124"/>
        <v>225824.5</v>
      </c>
      <c r="U511" s="1">
        <v>2258245</v>
      </c>
      <c r="V511" s="1">
        <f t="shared" si="120"/>
        <v>1678422.2999999998</v>
      </c>
      <c r="W511" s="1">
        <v>3.6</v>
      </c>
    </row>
    <row r="512" spans="1:23" x14ac:dyDescent="0.25">
      <c r="A512" s="1" t="s">
        <v>330</v>
      </c>
      <c r="B512" s="1" t="s">
        <v>32</v>
      </c>
      <c r="C512" s="1" t="s">
        <v>408</v>
      </c>
      <c r="D512" s="1" t="s">
        <v>48</v>
      </c>
      <c r="E512" s="1" t="s">
        <v>49</v>
      </c>
      <c r="F512" s="1" t="s">
        <v>29</v>
      </c>
      <c r="G512" s="1" t="s">
        <v>53</v>
      </c>
      <c r="H512" s="1" t="s">
        <v>398</v>
      </c>
      <c r="I512" s="1" t="s">
        <v>395</v>
      </c>
      <c r="J512" s="1" t="s">
        <v>26</v>
      </c>
      <c r="K512" s="1">
        <v>192</v>
      </c>
      <c r="L512" s="1">
        <v>30987</v>
      </c>
      <c r="M512" s="2">
        <f t="shared" si="121"/>
        <v>5949504</v>
      </c>
      <c r="N512" s="1">
        <v>910274.11</v>
      </c>
      <c r="O512" s="1">
        <f t="shared" si="122"/>
        <v>6859778.1100000003</v>
      </c>
      <c r="P512" s="1">
        <v>9023</v>
      </c>
      <c r="Q512" s="1">
        <f t="shared" si="123"/>
        <v>6850755.1100000003</v>
      </c>
      <c r="R512" s="1">
        <v>3387456</v>
      </c>
      <c r="S512" s="1">
        <f>U512*0.1</f>
        <v>451660.80000000005</v>
      </c>
      <c r="T512" s="1">
        <f t="shared" si="124"/>
        <v>677491.20000000019</v>
      </c>
      <c r="U512" s="1">
        <v>4516608</v>
      </c>
      <c r="V512" s="1">
        <f t="shared" si="120"/>
        <v>2334147.1100000003</v>
      </c>
      <c r="W512" s="1">
        <v>5</v>
      </c>
    </row>
    <row r="513" spans="1:23" x14ac:dyDescent="0.25">
      <c r="A513" s="1" t="s">
        <v>265</v>
      </c>
      <c r="B513" s="1" t="s">
        <v>28</v>
      </c>
      <c r="C513" s="1" t="s">
        <v>408</v>
      </c>
      <c r="D513" s="1" t="s">
        <v>74</v>
      </c>
      <c r="E513" s="1" t="s">
        <v>56</v>
      </c>
      <c r="F513" s="1" t="s">
        <v>59</v>
      </c>
      <c r="G513" s="1" t="s">
        <v>60</v>
      </c>
      <c r="H513" s="1" t="s">
        <v>398</v>
      </c>
      <c r="I513" s="1" t="s">
        <v>395</v>
      </c>
      <c r="J513" s="1" t="s">
        <v>46</v>
      </c>
      <c r="K513" s="1">
        <v>166</v>
      </c>
      <c r="L513" s="1">
        <v>18736</v>
      </c>
      <c r="M513" s="2">
        <f t="shared" si="121"/>
        <v>3110176</v>
      </c>
      <c r="N513" s="1">
        <v>475856.93</v>
      </c>
      <c r="O513" s="1">
        <f t="shared" si="122"/>
        <v>3586032.93</v>
      </c>
      <c r="P513" s="1">
        <v>9802</v>
      </c>
      <c r="Q513" s="1">
        <f t="shared" si="123"/>
        <v>3576230.93</v>
      </c>
      <c r="R513" s="1">
        <f>0.7*U513</f>
        <v>1749158.5999999999</v>
      </c>
      <c r="S513" s="1">
        <f t="shared" si="125"/>
        <v>499759.60000000003</v>
      </c>
      <c r="T513" s="1">
        <f t="shared" si="124"/>
        <v>249879.80000000005</v>
      </c>
      <c r="U513" s="1">
        <v>2498798</v>
      </c>
      <c r="V513" s="1">
        <f t="shared" si="120"/>
        <v>1077432.9300000002</v>
      </c>
      <c r="W513" s="1">
        <v>4.3</v>
      </c>
    </row>
    <row r="514" spans="1:23" x14ac:dyDescent="0.25">
      <c r="A514" s="1" t="s">
        <v>332</v>
      </c>
      <c r="B514" s="1" t="s">
        <v>28</v>
      </c>
      <c r="C514" s="1" t="s">
        <v>408</v>
      </c>
      <c r="D514" s="1" t="s">
        <v>62</v>
      </c>
      <c r="E514" s="1" t="s">
        <v>43</v>
      </c>
      <c r="F514" s="1" t="s">
        <v>17</v>
      </c>
      <c r="G514" s="1" t="s">
        <v>35</v>
      </c>
      <c r="H514" s="1" t="s">
        <v>398</v>
      </c>
      <c r="I514" s="1" t="s">
        <v>396</v>
      </c>
      <c r="J514" s="1" t="s">
        <v>46</v>
      </c>
      <c r="K514" s="1">
        <v>135</v>
      </c>
      <c r="L514" s="1">
        <v>5739</v>
      </c>
      <c r="M514" s="2">
        <f t="shared" si="121"/>
        <v>774765</v>
      </c>
      <c r="N514" s="1">
        <v>118539.04</v>
      </c>
      <c r="O514" s="1">
        <f t="shared" si="122"/>
        <v>893304.04</v>
      </c>
      <c r="P514" s="1">
        <v>5285</v>
      </c>
      <c r="Q514" s="1">
        <f t="shared" si="123"/>
        <v>888019.04</v>
      </c>
      <c r="R514" s="1">
        <f t="shared" ref="R514:R515" si="130">0.62*U514</f>
        <v>310778.09999999998</v>
      </c>
      <c r="S514" s="1">
        <f t="shared" si="125"/>
        <v>100251</v>
      </c>
      <c r="T514" s="1">
        <f t="shared" si="124"/>
        <v>90225.900000000023</v>
      </c>
      <c r="U514" s="1">
        <v>501255</v>
      </c>
      <c r="V514" s="1">
        <f t="shared" si="120"/>
        <v>386764.04000000004</v>
      </c>
      <c r="W514" s="1">
        <v>4.5</v>
      </c>
    </row>
    <row r="515" spans="1:23" x14ac:dyDescent="0.25">
      <c r="A515" s="1" t="s">
        <v>127</v>
      </c>
      <c r="B515" s="1" t="s">
        <v>32</v>
      </c>
      <c r="C515" s="1" t="s">
        <v>408</v>
      </c>
      <c r="D515" s="1" t="s">
        <v>42</v>
      </c>
      <c r="E515" s="1" t="s">
        <v>43</v>
      </c>
      <c r="F515" s="1" t="s">
        <v>17</v>
      </c>
      <c r="G515" s="1" t="s">
        <v>72</v>
      </c>
      <c r="H515" s="1" t="s">
        <v>399</v>
      </c>
      <c r="I515" s="1" t="s">
        <v>19</v>
      </c>
      <c r="J515" s="1" t="s">
        <v>26</v>
      </c>
      <c r="K515" s="1">
        <v>115</v>
      </c>
      <c r="L515" s="1">
        <v>30363</v>
      </c>
      <c r="M515" s="2">
        <f t="shared" si="121"/>
        <v>3491745</v>
      </c>
      <c r="N515" s="1">
        <v>534236.98</v>
      </c>
      <c r="O515" s="1">
        <f t="shared" si="122"/>
        <v>4025981.98</v>
      </c>
      <c r="P515" s="1">
        <v>6449</v>
      </c>
      <c r="Q515" s="1">
        <f t="shared" si="123"/>
        <v>4019532.98</v>
      </c>
      <c r="R515" s="1">
        <f t="shared" si="130"/>
        <v>1458441.5</v>
      </c>
      <c r="S515" s="1">
        <f t="shared" si="125"/>
        <v>470465</v>
      </c>
      <c r="T515" s="1">
        <f t="shared" si="124"/>
        <v>423418.5</v>
      </c>
      <c r="U515" s="1">
        <v>2352325</v>
      </c>
      <c r="V515" s="1">
        <f t="shared" si="120"/>
        <v>1667207.98</v>
      </c>
      <c r="W515" s="1">
        <v>5</v>
      </c>
    </row>
    <row r="516" spans="1:23" x14ac:dyDescent="0.25">
      <c r="A516" s="1" t="s">
        <v>333</v>
      </c>
      <c r="B516" s="1" t="s">
        <v>37</v>
      </c>
      <c r="C516" s="1" t="s">
        <v>408</v>
      </c>
      <c r="D516" s="1" t="s">
        <v>62</v>
      </c>
      <c r="E516" s="1" t="s">
        <v>43</v>
      </c>
      <c r="F516" s="1" t="s">
        <v>59</v>
      </c>
      <c r="G516" s="1" t="s">
        <v>103</v>
      </c>
      <c r="H516" s="1" t="s">
        <v>398</v>
      </c>
      <c r="I516" s="1" t="s">
        <v>397</v>
      </c>
      <c r="J516" s="1" t="s">
        <v>26</v>
      </c>
      <c r="K516" s="1">
        <v>139</v>
      </c>
      <c r="L516" s="1">
        <v>14805</v>
      </c>
      <c r="M516" s="2">
        <f t="shared" si="121"/>
        <v>2057895</v>
      </c>
      <c r="N516" s="1">
        <v>370421.1</v>
      </c>
      <c r="O516" s="1">
        <f t="shared" si="122"/>
        <v>2428316.1</v>
      </c>
      <c r="P516" s="1">
        <v>7379</v>
      </c>
      <c r="Q516" s="1">
        <f t="shared" si="123"/>
        <v>2420937.1</v>
      </c>
      <c r="R516" s="1">
        <f t="shared" ref="R516:R518" si="131">0.7*U516</f>
        <v>1112041.7</v>
      </c>
      <c r="S516" s="1">
        <f t="shared" si="125"/>
        <v>317726.2</v>
      </c>
      <c r="T516" s="1">
        <f t="shared" si="124"/>
        <v>158863.10000000009</v>
      </c>
      <c r="U516" s="1">
        <v>1588631</v>
      </c>
      <c r="V516" s="1">
        <f t="shared" ref="V516:V579" si="132">Q516-U516</f>
        <v>832306.10000000009</v>
      </c>
      <c r="W516" s="1">
        <v>4.9000000000000004</v>
      </c>
    </row>
    <row r="517" spans="1:23" x14ac:dyDescent="0.25">
      <c r="A517" s="1" t="s">
        <v>66</v>
      </c>
      <c r="B517" s="1" t="s">
        <v>58</v>
      </c>
      <c r="C517" s="1" t="s">
        <v>408</v>
      </c>
      <c r="D517" s="1" t="s">
        <v>62</v>
      </c>
      <c r="E517" s="1" t="s">
        <v>43</v>
      </c>
      <c r="F517" s="1" t="s">
        <v>59</v>
      </c>
      <c r="G517" s="1" t="s">
        <v>67</v>
      </c>
      <c r="H517" s="1" t="s">
        <v>398</v>
      </c>
      <c r="I517" s="1" t="s">
        <v>39</v>
      </c>
      <c r="J517" s="1" t="s">
        <v>26</v>
      </c>
      <c r="K517" s="1">
        <v>18</v>
      </c>
      <c r="L517" s="1">
        <v>23227</v>
      </c>
      <c r="M517" s="2">
        <f t="shared" ref="M517:M580" si="133">K517*L517</f>
        <v>418086</v>
      </c>
      <c r="N517" s="1">
        <v>63967.16</v>
      </c>
      <c r="O517" s="1">
        <f t="shared" ref="O517:O580" si="134">M517+N517</f>
        <v>482053.16000000003</v>
      </c>
      <c r="P517" s="1">
        <v>8827</v>
      </c>
      <c r="Q517" s="1">
        <f t="shared" ref="Q517:Q580" si="135">O517-P517</f>
        <v>473226.16000000003</v>
      </c>
      <c r="R517" s="1">
        <f t="shared" si="131"/>
        <v>214830</v>
      </c>
      <c r="S517" s="1">
        <f t="shared" ref="S517:S580" si="136">U517*0.2</f>
        <v>61380</v>
      </c>
      <c r="T517" s="1">
        <f t="shared" ref="T517:T580" si="137">U517-S517-R517</f>
        <v>30690</v>
      </c>
      <c r="U517" s="1">
        <v>306900</v>
      </c>
      <c r="V517" s="1">
        <f t="shared" si="132"/>
        <v>166326.16000000003</v>
      </c>
      <c r="W517" s="1">
        <v>4.9000000000000004</v>
      </c>
    </row>
    <row r="518" spans="1:23" x14ac:dyDescent="0.25">
      <c r="A518" s="1" t="s">
        <v>334</v>
      </c>
      <c r="B518" s="1" t="s">
        <v>41</v>
      </c>
      <c r="C518" s="1" t="s">
        <v>408</v>
      </c>
      <c r="D518" s="1" t="s">
        <v>55</v>
      </c>
      <c r="E518" s="1" t="s">
        <v>56</v>
      </c>
      <c r="F518" s="1" t="s">
        <v>59</v>
      </c>
      <c r="G518" s="1" t="s">
        <v>103</v>
      </c>
      <c r="H518" s="1" t="s">
        <v>399</v>
      </c>
      <c r="I518" s="1" t="s">
        <v>397</v>
      </c>
      <c r="J518" s="1" t="s">
        <v>26</v>
      </c>
      <c r="K518" s="1">
        <v>119</v>
      </c>
      <c r="L518" s="1">
        <v>32980</v>
      </c>
      <c r="M518" s="2">
        <f t="shared" si="133"/>
        <v>3924620</v>
      </c>
      <c r="N518" s="1">
        <v>649917.06999999995</v>
      </c>
      <c r="O518" s="1">
        <f t="shared" si="134"/>
        <v>4574537.07</v>
      </c>
      <c r="P518" s="1">
        <v>7230</v>
      </c>
      <c r="Q518" s="1">
        <f t="shared" si="135"/>
        <v>4567307.07</v>
      </c>
      <c r="R518" s="1">
        <f t="shared" si="131"/>
        <v>1858672.9</v>
      </c>
      <c r="S518" s="1">
        <f t="shared" si="136"/>
        <v>531049.4</v>
      </c>
      <c r="T518" s="1">
        <f t="shared" si="137"/>
        <v>265524.70000000019</v>
      </c>
      <c r="U518" s="1">
        <v>2655247</v>
      </c>
      <c r="V518" s="1">
        <f t="shared" si="132"/>
        <v>1912060.0700000003</v>
      </c>
      <c r="W518" s="1">
        <v>4.4000000000000004</v>
      </c>
    </row>
    <row r="519" spans="1:23" x14ac:dyDescent="0.25">
      <c r="A519" s="1" t="s">
        <v>335</v>
      </c>
      <c r="B519" s="1" t="s">
        <v>51</v>
      </c>
      <c r="C519" s="1" t="s">
        <v>408</v>
      </c>
      <c r="D519" s="1" t="s">
        <v>62</v>
      </c>
      <c r="E519" s="1" t="s">
        <v>43</v>
      </c>
      <c r="F519" s="1" t="s">
        <v>17</v>
      </c>
      <c r="G519" s="1" t="s">
        <v>72</v>
      </c>
      <c r="H519" s="1" t="s">
        <v>398</v>
      </c>
      <c r="I519" s="1" t="s">
        <v>19</v>
      </c>
      <c r="J519" s="1" t="s">
        <v>26</v>
      </c>
      <c r="K519" s="1">
        <v>102</v>
      </c>
      <c r="L519" s="1">
        <v>27949</v>
      </c>
      <c r="M519" s="2">
        <f t="shared" si="133"/>
        <v>2850798</v>
      </c>
      <c r="N519" s="1">
        <v>487486.46</v>
      </c>
      <c r="O519" s="1">
        <f t="shared" si="134"/>
        <v>3338284.46</v>
      </c>
      <c r="P519" s="1">
        <v>9256</v>
      </c>
      <c r="Q519" s="1">
        <f t="shared" si="135"/>
        <v>3329028.46</v>
      </c>
      <c r="R519" s="1">
        <f>0.62*U519</f>
        <v>1349035.68</v>
      </c>
      <c r="S519" s="1">
        <f>U519*0.2</f>
        <v>435172.80000000005</v>
      </c>
      <c r="T519" s="1">
        <f t="shared" si="137"/>
        <v>391655.52</v>
      </c>
      <c r="U519" s="1">
        <v>2175864</v>
      </c>
      <c r="V519" s="1">
        <f t="shared" si="132"/>
        <v>1153164.46</v>
      </c>
      <c r="W519" s="1">
        <v>3.5</v>
      </c>
    </row>
    <row r="520" spans="1:23" x14ac:dyDescent="0.25">
      <c r="A520" s="1" t="s">
        <v>336</v>
      </c>
      <c r="B520" s="1" t="s">
        <v>34</v>
      </c>
      <c r="C520" s="1" t="s">
        <v>408</v>
      </c>
      <c r="D520" s="1" t="s">
        <v>52</v>
      </c>
      <c r="E520" s="1" t="s">
        <v>23</v>
      </c>
      <c r="F520" s="1" t="s">
        <v>29</v>
      </c>
      <c r="G520" s="1" t="s">
        <v>97</v>
      </c>
      <c r="H520" s="1" t="s">
        <v>399</v>
      </c>
      <c r="I520" s="1" t="s">
        <v>395</v>
      </c>
      <c r="J520" s="1" t="s">
        <v>26</v>
      </c>
      <c r="K520" s="1">
        <v>47</v>
      </c>
      <c r="L520" s="1">
        <v>24123</v>
      </c>
      <c r="M520" s="2">
        <f t="shared" si="133"/>
        <v>1133781</v>
      </c>
      <c r="N520" s="1">
        <v>173468.49</v>
      </c>
      <c r="O520" s="1">
        <f t="shared" si="134"/>
        <v>1307249.49</v>
      </c>
      <c r="P520" s="1">
        <v>7788</v>
      </c>
      <c r="Q520" s="1">
        <f t="shared" si="135"/>
        <v>1299461.49</v>
      </c>
      <c r="R520" s="1">
        <v>654768.75</v>
      </c>
      <c r="S520" s="1">
        <f t="shared" ref="S520:S521" si="138">U520*0.1</f>
        <v>87302.5</v>
      </c>
      <c r="T520" s="1">
        <f t="shared" si="137"/>
        <v>130953.75</v>
      </c>
      <c r="U520" s="1">
        <v>873025</v>
      </c>
      <c r="V520" s="1">
        <f t="shared" si="132"/>
        <v>426436.49</v>
      </c>
      <c r="W520" s="1">
        <v>4.7</v>
      </c>
    </row>
    <row r="521" spans="1:23" x14ac:dyDescent="0.25">
      <c r="A521" s="1" t="s">
        <v>130</v>
      </c>
      <c r="B521" s="1" t="s">
        <v>41</v>
      </c>
      <c r="C521" s="1" t="s">
        <v>408</v>
      </c>
      <c r="D521" s="1" t="s">
        <v>78</v>
      </c>
      <c r="E521" s="1" t="s">
        <v>49</v>
      </c>
      <c r="F521" s="1" t="s">
        <v>29</v>
      </c>
      <c r="G521" s="1" t="s">
        <v>53</v>
      </c>
      <c r="H521" s="1" t="s">
        <v>398</v>
      </c>
      <c r="I521" s="1" t="s">
        <v>395</v>
      </c>
      <c r="J521" s="1" t="s">
        <v>46</v>
      </c>
      <c r="K521" s="1">
        <v>44</v>
      </c>
      <c r="L521" s="1">
        <v>28368</v>
      </c>
      <c r="M521" s="2">
        <f t="shared" si="133"/>
        <v>1248192</v>
      </c>
      <c r="N521" s="1">
        <v>206700.6</v>
      </c>
      <c r="O521" s="1">
        <f t="shared" si="134"/>
        <v>1454892.6</v>
      </c>
      <c r="P521" s="1">
        <v>6468</v>
      </c>
      <c r="Q521" s="1">
        <f t="shared" si="135"/>
        <v>1448424.6</v>
      </c>
      <c r="R521" s="1">
        <v>719532</v>
      </c>
      <c r="S521" s="1">
        <f t="shared" si="138"/>
        <v>95937.600000000006</v>
      </c>
      <c r="T521" s="1">
        <f t="shared" si="137"/>
        <v>143906.40000000002</v>
      </c>
      <c r="U521" s="1">
        <v>959376</v>
      </c>
      <c r="V521" s="1">
        <f t="shared" si="132"/>
        <v>489048.60000000009</v>
      </c>
      <c r="W521" s="1">
        <v>4.7</v>
      </c>
    </row>
    <row r="522" spans="1:23" x14ac:dyDescent="0.25">
      <c r="A522" s="1" t="s">
        <v>337</v>
      </c>
      <c r="B522" s="1" t="s">
        <v>32</v>
      </c>
      <c r="C522" s="1" t="s">
        <v>408</v>
      </c>
      <c r="D522" s="1" t="s">
        <v>22</v>
      </c>
      <c r="E522" s="1" t="s">
        <v>23</v>
      </c>
      <c r="F522" s="1" t="s">
        <v>59</v>
      </c>
      <c r="G522" s="1" t="s">
        <v>60</v>
      </c>
      <c r="H522" s="1" t="s">
        <v>398</v>
      </c>
      <c r="I522" s="1" t="s">
        <v>39</v>
      </c>
      <c r="J522" s="1" t="s">
        <v>26</v>
      </c>
      <c r="K522" s="1">
        <v>18</v>
      </c>
      <c r="L522" s="1">
        <v>8612</v>
      </c>
      <c r="M522" s="2">
        <f t="shared" si="133"/>
        <v>155016</v>
      </c>
      <c r="N522" s="1">
        <v>27902.880000000001</v>
      </c>
      <c r="O522" s="1">
        <f t="shared" si="134"/>
        <v>182918.88</v>
      </c>
      <c r="P522" s="1">
        <v>8541</v>
      </c>
      <c r="Q522" s="1">
        <f t="shared" si="135"/>
        <v>174377.88</v>
      </c>
      <c r="R522" s="1">
        <f>0.7*U522</f>
        <v>69186.599999999991</v>
      </c>
      <c r="S522" s="1">
        <f t="shared" si="136"/>
        <v>19767.600000000002</v>
      </c>
      <c r="T522" s="1">
        <f t="shared" si="137"/>
        <v>9883.8000000000029</v>
      </c>
      <c r="U522" s="1">
        <v>98838</v>
      </c>
      <c r="V522" s="1">
        <f t="shared" si="132"/>
        <v>75539.88</v>
      </c>
      <c r="W522" s="1">
        <v>4.3</v>
      </c>
    </row>
    <row r="523" spans="1:23" x14ac:dyDescent="0.25">
      <c r="A523" s="1" t="s">
        <v>338</v>
      </c>
      <c r="B523" s="1" t="s">
        <v>109</v>
      </c>
      <c r="C523" s="1" t="s">
        <v>408</v>
      </c>
      <c r="D523" s="1" t="s">
        <v>42</v>
      </c>
      <c r="E523" s="1" t="s">
        <v>43</v>
      </c>
      <c r="F523" s="1" t="s">
        <v>17</v>
      </c>
      <c r="G523" s="1" t="s">
        <v>72</v>
      </c>
      <c r="H523" s="1" t="s">
        <v>398</v>
      </c>
      <c r="I523" s="1" t="s">
        <v>395</v>
      </c>
      <c r="J523" s="1" t="s">
        <v>26</v>
      </c>
      <c r="K523" s="1">
        <v>37</v>
      </c>
      <c r="L523" s="1">
        <v>5364</v>
      </c>
      <c r="M523" s="2">
        <f t="shared" si="133"/>
        <v>198468</v>
      </c>
      <c r="N523" s="1">
        <v>35724.239999999998</v>
      </c>
      <c r="O523" s="1">
        <f t="shared" si="134"/>
        <v>234192.24</v>
      </c>
      <c r="P523" s="1">
        <v>7044</v>
      </c>
      <c r="Q523" s="1">
        <f t="shared" si="135"/>
        <v>227148.24</v>
      </c>
      <c r="R523" s="1">
        <f>0.62*U523</f>
        <v>80542.34</v>
      </c>
      <c r="S523" s="1">
        <f>U523*0.2</f>
        <v>25981.4</v>
      </c>
      <c r="T523" s="1">
        <f t="shared" si="137"/>
        <v>23383.260000000009</v>
      </c>
      <c r="U523" s="1">
        <v>129907</v>
      </c>
      <c r="V523" s="1">
        <f t="shared" si="132"/>
        <v>97241.239999999991</v>
      </c>
      <c r="W523" s="1">
        <v>3.8</v>
      </c>
    </row>
    <row r="524" spans="1:23" x14ac:dyDescent="0.25">
      <c r="A524" s="1" t="s">
        <v>304</v>
      </c>
      <c r="B524" s="1" t="s">
        <v>51</v>
      </c>
      <c r="C524" s="1" t="s">
        <v>408</v>
      </c>
      <c r="D524" s="1" t="s">
        <v>55</v>
      </c>
      <c r="E524" s="1" t="s">
        <v>56</v>
      </c>
      <c r="F524" s="1" t="s">
        <v>29</v>
      </c>
      <c r="G524" s="1" t="s">
        <v>97</v>
      </c>
      <c r="H524" s="1" t="s">
        <v>398</v>
      </c>
      <c r="I524" s="1" t="s">
        <v>397</v>
      </c>
      <c r="J524" s="1" t="s">
        <v>46</v>
      </c>
      <c r="K524" s="1">
        <v>103</v>
      </c>
      <c r="L524" s="1">
        <v>11828</v>
      </c>
      <c r="M524" s="2">
        <f t="shared" si="133"/>
        <v>1218284</v>
      </c>
      <c r="N524" s="1">
        <v>201747.83</v>
      </c>
      <c r="O524" s="1">
        <f t="shared" si="134"/>
        <v>1420031.83</v>
      </c>
      <c r="P524" s="1">
        <v>6574</v>
      </c>
      <c r="Q524" s="1">
        <f t="shared" si="135"/>
        <v>1413457.83</v>
      </c>
      <c r="R524" s="1">
        <v>705292.5</v>
      </c>
      <c r="S524" s="1">
        <f>U524*0.1</f>
        <v>94039</v>
      </c>
      <c r="T524" s="1">
        <f t="shared" si="137"/>
        <v>141058.5</v>
      </c>
      <c r="U524" s="1">
        <v>940390</v>
      </c>
      <c r="V524" s="1">
        <f t="shared" si="132"/>
        <v>473067.83000000007</v>
      </c>
      <c r="W524" s="1">
        <v>4.9000000000000004</v>
      </c>
    </row>
    <row r="525" spans="1:23" x14ac:dyDescent="0.25">
      <c r="A525" s="1" t="s">
        <v>125</v>
      </c>
      <c r="B525" s="1" t="s">
        <v>109</v>
      </c>
      <c r="C525" s="1" t="s">
        <v>408</v>
      </c>
      <c r="D525" s="1" t="s">
        <v>42</v>
      </c>
      <c r="E525" s="1" t="s">
        <v>43</v>
      </c>
      <c r="F525" s="1" t="s">
        <v>17</v>
      </c>
      <c r="G525" s="1" t="s">
        <v>75</v>
      </c>
      <c r="H525" s="1" t="s">
        <v>399</v>
      </c>
      <c r="I525" s="1" t="s">
        <v>397</v>
      </c>
      <c r="J525" s="1" t="s">
        <v>26</v>
      </c>
      <c r="K525" s="1">
        <v>29</v>
      </c>
      <c r="L525" s="1">
        <v>18989</v>
      </c>
      <c r="M525" s="2">
        <f t="shared" si="133"/>
        <v>550681</v>
      </c>
      <c r="N525" s="1">
        <v>84254.19</v>
      </c>
      <c r="O525" s="1">
        <f t="shared" si="134"/>
        <v>634935.18999999994</v>
      </c>
      <c r="P525" s="1">
        <v>9051</v>
      </c>
      <c r="Q525" s="1">
        <f t="shared" si="135"/>
        <v>625884.18999999994</v>
      </c>
      <c r="R525" s="1">
        <f t="shared" ref="R525:R526" si="139">0.62*U525</f>
        <v>217845.68</v>
      </c>
      <c r="S525" s="1">
        <f t="shared" ref="S525:S526" si="140">U525*0.2</f>
        <v>70272.800000000003</v>
      </c>
      <c r="T525" s="1">
        <f t="shared" si="137"/>
        <v>63245.520000000019</v>
      </c>
      <c r="U525" s="1">
        <v>351364</v>
      </c>
      <c r="V525" s="1">
        <f t="shared" si="132"/>
        <v>274520.18999999994</v>
      </c>
      <c r="W525" s="1">
        <v>3.9</v>
      </c>
    </row>
    <row r="526" spans="1:23" x14ac:dyDescent="0.25">
      <c r="A526" s="1" t="s">
        <v>339</v>
      </c>
      <c r="B526" s="1" t="s">
        <v>69</v>
      </c>
      <c r="C526" s="1" t="s">
        <v>408</v>
      </c>
      <c r="D526" s="1" t="s">
        <v>52</v>
      </c>
      <c r="E526" s="1" t="s">
        <v>23</v>
      </c>
      <c r="F526" s="1" t="s">
        <v>17</v>
      </c>
      <c r="G526" s="1" t="s">
        <v>18</v>
      </c>
      <c r="H526" s="1" t="s">
        <v>399</v>
      </c>
      <c r="I526" s="1" t="s">
        <v>397</v>
      </c>
      <c r="J526" s="1" t="s">
        <v>26</v>
      </c>
      <c r="K526" s="1">
        <v>67</v>
      </c>
      <c r="L526" s="1">
        <v>22052</v>
      </c>
      <c r="M526" s="2">
        <f t="shared" si="133"/>
        <v>1477484</v>
      </c>
      <c r="N526" s="1">
        <v>265947.12</v>
      </c>
      <c r="O526" s="1">
        <f t="shared" si="134"/>
        <v>1743431.12</v>
      </c>
      <c r="P526" s="1">
        <v>5001</v>
      </c>
      <c r="Q526" s="1">
        <f t="shared" si="135"/>
        <v>1738430.12</v>
      </c>
      <c r="R526" s="1">
        <f t="shared" si="139"/>
        <v>648024</v>
      </c>
      <c r="S526" s="1">
        <f t="shared" si="140"/>
        <v>209040</v>
      </c>
      <c r="T526" s="1">
        <f t="shared" si="137"/>
        <v>188136</v>
      </c>
      <c r="U526" s="1">
        <v>1045200</v>
      </c>
      <c r="V526" s="1">
        <f t="shared" si="132"/>
        <v>693230.12000000011</v>
      </c>
      <c r="W526" s="1">
        <v>4</v>
      </c>
    </row>
    <row r="527" spans="1:23" x14ac:dyDescent="0.25">
      <c r="A527" s="1" t="s">
        <v>340</v>
      </c>
      <c r="B527" s="1" t="s">
        <v>77</v>
      </c>
      <c r="C527" s="1" t="s">
        <v>408</v>
      </c>
      <c r="D527" s="1" t="s">
        <v>62</v>
      </c>
      <c r="E527" s="1" t="s">
        <v>43</v>
      </c>
      <c r="F527" s="1" t="s">
        <v>29</v>
      </c>
      <c r="G527" s="1" t="s">
        <v>53</v>
      </c>
      <c r="H527" s="1" t="s">
        <v>399</v>
      </c>
      <c r="I527" s="1" t="s">
        <v>397</v>
      </c>
      <c r="J527" s="1" t="s">
        <v>26</v>
      </c>
      <c r="K527" s="1">
        <v>21</v>
      </c>
      <c r="L527" s="1">
        <v>17568</v>
      </c>
      <c r="M527" s="2">
        <f t="shared" si="133"/>
        <v>368928</v>
      </c>
      <c r="N527" s="1">
        <v>63086.69</v>
      </c>
      <c r="O527" s="1">
        <f t="shared" si="134"/>
        <v>432014.69</v>
      </c>
      <c r="P527" s="1">
        <v>5194</v>
      </c>
      <c r="Q527" s="1">
        <f t="shared" si="135"/>
        <v>426820.69</v>
      </c>
      <c r="R527" s="1">
        <v>65735.25</v>
      </c>
      <c r="S527" s="1">
        <f>U527*0.1</f>
        <v>26294.100000000002</v>
      </c>
      <c r="T527" s="1">
        <f t="shared" si="137"/>
        <v>170911.65</v>
      </c>
      <c r="U527" s="1">
        <v>262941</v>
      </c>
      <c r="V527" s="1">
        <f t="shared" si="132"/>
        <v>163879.69</v>
      </c>
      <c r="W527" s="1">
        <v>4.4000000000000004</v>
      </c>
    </row>
    <row r="528" spans="1:23" x14ac:dyDescent="0.25">
      <c r="A528" s="1" t="s">
        <v>90</v>
      </c>
      <c r="B528" s="1" t="s">
        <v>41</v>
      </c>
      <c r="C528" s="1" t="s">
        <v>408</v>
      </c>
      <c r="D528" s="1" t="s">
        <v>74</v>
      </c>
      <c r="E528" s="1" t="s">
        <v>56</v>
      </c>
      <c r="F528" s="1" t="s">
        <v>59</v>
      </c>
      <c r="G528" s="1" t="s">
        <v>85</v>
      </c>
      <c r="H528" s="1" t="s">
        <v>399</v>
      </c>
      <c r="I528" s="1" t="s">
        <v>39</v>
      </c>
      <c r="J528" s="1" t="s">
        <v>46</v>
      </c>
      <c r="K528" s="1">
        <v>159</v>
      </c>
      <c r="L528" s="1">
        <v>19390</v>
      </c>
      <c r="M528" s="2">
        <f t="shared" si="133"/>
        <v>3083010</v>
      </c>
      <c r="N528" s="1">
        <v>488348.78</v>
      </c>
      <c r="O528" s="1">
        <f t="shared" si="134"/>
        <v>3571358.7800000003</v>
      </c>
      <c r="P528" s="1">
        <v>9152</v>
      </c>
      <c r="Q528" s="1">
        <f t="shared" si="135"/>
        <v>3562206.7800000003</v>
      </c>
      <c r="R528" s="1">
        <f>0.7*U528</f>
        <v>1379786.0999999999</v>
      </c>
      <c r="S528" s="1">
        <f t="shared" si="136"/>
        <v>394224.60000000003</v>
      </c>
      <c r="T528" s="1">
        <f t="shared" si="137"/>
        <v>197112.30000000005</v>
      </c>
      <c r="U528" s="1">
        <v>1971123</v>
      </c>
      <c r="V528" s="1">
        <f t="shared" si="132"/>
        <v>1591083.7800000003</v>
      </c>
      <c r="W528" s="1">
        <v>4.7</v>
      </c>
    </row>
    <row r="529" spans="1:23" x14ac:dyDescent="0.25">
      <c r="A529" s="1" t="s">
        <v>334</v>
      </c>
      <c r="B529" s="1" t="s">
        <v>34</v>
      </c>
      <c r="C529" s="1" t="s">
        <v>408</v>
      </c>
      <c r="D529" s="1" t="s">
        <v>55</v>
      </c>
      <c r="E529" s="1" t="s">
        <v>56</v>
      </c>
      <c r="F529" s="1" t="s">
        <v>29</v>
      </c>
      <c r="G529" s="1" t="s">
        <v>97</v>
      </c>
      <c r="H529" s="1" t="s">
        <v>399</v>
      </c>
      <c r="I529" s="1" t="s">
        <v>19</v>
      </c>
      <c r="J529" s="1" t="s">
        <v>26</v>
      </c>
      <c r="K529" s="1">
        <v>64</v>
      </c>
      <c r="L529" s="1">
        <v>27367</v>
      </c>
      <c r="M529" s="2">
        <f t="shared" si="133"/>
        <v>1751488</v>
      </c>
      <c r="N529" s="1">
        <v>299504.45</v>
      </c>
      <c r="O529" s="1">
        <f t="shared" si="134"/>
        <v>2050992.45</v>
      </c>
      <c r="P529" s="1">
        <v>8835</v>
      </c>
      <c r="Q529" s="1">
        <f t="shared" si="135"/>
        <v>2042157.45</v>
      </c>
      <c r="R529" s="1">
        <v>838656</v>
      </c>
      <c r="S529" s="1">
        <f>U529*0.1</f>
        <v>111820.8</v>
      </c>
      <c r="T529" s="1">
        <f t="shared" si="137"/>
        <v>167731.19999999995</v>
      </c>
      <c r="U529" s="1">
        <v>1118208</v>
      </c>
      <c r="V529" s="1">
        <f t="shared" si="132"/>
        <v>923949.45</v>
      </c>
      <c r="W529" s="1">
        <v>4.2</v>
      </c>
    </row>
    <row r="530" spans="1:23" x14ac:dyDescent="0.25">
      <c r="A530" s="1" t="s">
        <v>223</v>
      </c>
      <c r="B530" s="1" t="s">
        <v>37</v>
      </c>
      <c r="C530" s="1" t="s">
        <v>408</v>
      </c>
      <c r="D530" s="1" t="s">
        <v>15</v>
      </c>
      <c r="E530" s="1" t="s">
        <v>16</v>
      </c>
      <c r="F530" s="1" t="s">
        <v>17</v>
      </c>
      <c r="G530" s="1" t="s">
        <v>18</v>
      </c>
      <c r="H530" s="1" t="s">
        <v>399</v>
      </c>
      <c r="I530" s="1" t="s">
        <v>19</v>
      </c>
      <c r="J530" s="1" t="s">
        <v>46</v>
      </c>
      <c r="K530" s="1">
        <v>93</v>
      </c>
      <c r="L530" s="1">
        <v>31457</v>
      </c>
      <c r="M530" s="2">
        <f t="shared" si="133"/>
        <v>2925501</v>
      </c>
      <c r="N530" s="1">
        <v>463399.36</v>
      </c>
      <c r="O530" s="1">
        <f t="shared" si="134"/>
        <v>3388900.36</v>
      </c>
      <c r="P530" s="1">
        <v>8764</v>
      </c>
      <c r="Q530" s="1">
        <f t="shared" si="135"/>
        <v>3380136.36</v>
      </c>
      <c r="R530" s="1">
        <f>0.62*U530</f>
        <v>1401829.92</v>
      </c>
      <c r="S530" s="1">
        <f>U530*0.2</f>
        <v>452203.2</v>
      </c>
      <c r="T530" s="1">
        <f t="shared" si="137"/>
        <v>406982.88000000012</v>
      </c>
      <c r="U530" s="1">
        <v>2261016</v>
      </c>
      <c r="V530" s="1">
        <f t="shared" si="132"/>
        <v>1119120.3599999999</v>
      </c>
      <c r="W530" s="1">
        <v>3.9</v>
      </c>
    </row>
    <row r="531" spans="1:23" x14ac:dyDescent="0.25">
      <c r="A531" s="1" t="s">
        <v>330</v>
      </c>
      <c r="B531" s="1" t="s">
        <v>32</v>
      </c>
      <c r="C531" s="1" t="s">
        <v>408</v>
      </c>
      <c r="D531" s="1" t="s">
        <v>15</v>
      </c>
      <c r="E531" s="1" t="s">
        <v>16</v>
      </c>
      <c r="F531" s="1" t="s">
        <v>59</v>
      </c>
      <c r="G531" s="1" t="s">
        <v>85</v>
      </c>
      <c r="H531" s="1" t="s">
        <v>399</v>
      </c>
      <c r="I531" s="1" t="s">
        <v>39</v>
      </c>
      <c r="J531" s="1" t="s">
        <v>26</v>
      </c>
      <c r="K531" s="1">
        <v>23</v>
      </c>
      <c r="L531" s="1">
        <v>21294</v>
      </c>
      <c r="M531" s="2">
        <f t="shared" si="133"/>
        <v>489762</v>
      </c>
      <c r="N531" s="1">
        <v>88157.16</v>
      </c>
      <c r="O531" s="1">
        <f t="shared" si="134"/>
        <v>577919.16</v>
      </c>
      <c r="P531" s="1">
        <v>9781</v>
      </c>
      <c r="Q531" s="1">
        <f t="shared" si="135"/>
        <v>568138.16</v>
      </c>
      <c r="R531" s="1">
        <f>0.7*U531</f>
        <v>218042.3</v>
      </c>
      <c r="S531" s="1">
        <f t="shared" si="136"/>
        <v>62297.8</v>
      </c>
      <c r="T531" s="1">
        <f t="shared" si="137"/>
        <v>31148.900000000023</v>
      </c>
      <c r="U531" s="1">
        <v>311489</v>
      </c>
      <c r="V531" s="1">
        <f t="shared" si="132"/>
        <v>256649.16000000003</v>
      </c>
      <c r="W531" s="1">
        <v>3.9</v>
      </c>
    </row>
    <row r="532" spans="1:23" x14ac:dyDescent="0.25">
      <c r="A532" s="1" t="s">
        <v>188</v>
      </c>
      <c r="B532" s="1" t="s">
        <v>51</v>
      </c>
      <c r="C532" s="1" t="s">
        <v>408</v>
      </c>
      <c r="D532" s="1" t="s">
        <v>62</v>
      </c>
      <c r="E532" s="1" t="s">
        <v>43</v>
      </c>
      <c r="F532" s="1" t="s">
        <v>24</v>
      </c>
      <c r="G532" s="1" t="s">
        <v>119</v>
      </c>
      <c r="H532" s="1" t="s">
        <v>399</v>
      </c>
      <c r="I532" s="1" t="s">
        <v>395</v>
      </c>
      <c r="J532" s="1" t="s">
        <v>46</v>
      </c>
      <c r="K532" s="1">
        <v>62</v>
      </c>
      <c r="L532" s="1">
        <v>27410</v>
      </c>
      <c r="M532" s="2">
        <f t="shared" si="133"/>
        <v>1699420</v>
      </c>
      <c r="N532" s="1">
        <v>281423.95</v>
      </c>
      <c r="O532" s="1">
        <f t="shared" si="134"/>
        <v>1980843.95</v>
      </c>
      <c r="P532" s="1">
        <v>9838</v>
      </c>
      <c r="Q532" s="1">
        <f t="shared" si="135"/>
        <v>1971005.95</v>
      </c>
      <c r="R532" s="1">
        <v>347386</v>
      </c>
      <c r="S532" s="1">
        <f t="shared" si="136"/>
        <v>277908.8</v>
      </c>
      <c r="T532" s="1">
        <f t="shared" si="137"/>
        <v>764249.2</v>
      </c>
      <c r="U532" s="1">
        <v>1389544</v>
      </c>
      <c r="V532" s="1">
        <f t="shared" si="132"/>
        <v>581461.94999999995</v>
      </c>
      <c r="W532" s="1">
        <v>4.7</v>
      </c>
    </row>
    <row r="533" spans="1:23" x14ac:dyDescent="0.25">
      <c r="A533" s="1" t="s">
        <v>341</v>
      </c>
      <c r="B533" s="1" t="s">
        <v>41</v>
      </c>
      <c r="C533" s="1" t="s">
        <v>408</v>
      </c>
      <c r="D533" s="1" t="s">
        <v>62</v>
      </c>
      <c r="E533" s="1" t="s">
        <v>43</v>
      </c>
      <c r="F533" s="1" t="s">
        <v>59</v>
      </c>
      <c r="G533" s="1" t="s">
        <v>121</v>
      </c>
      <c r="H533" s="1" t="s">
        <v>399</v>
      </c>
      <c r="I533" s="1" t="s">
        <v>397</v>
      </c>
      <c r="J533" s="1" t="s">
        <v>46</v>
      </c>
      <c r="K533" s="1">
        <v>108</v>
      </c>
      <c r="L533" s="1">
        <v>7511</v>
      </c>
      <c r="M533" s="2">
        <f t="shared" si="133"/>
        <v>811188</v>
      </c>
      <c r="N533" s="1">
        <v>146013.84</v>
      </c>
      <c r="O533" s="1">
        <f t="shared" si="134"/>
        <v>957201.84</v>
      </c>
      <c r="P533" s="1">
        <v>9940</v>
      </c>
      <c r="Q533" s="1">
        <f t="shared" si="135"/>
        <v>947261.84</v>
      </c>
      <c r="R533" s="1">
        <f>0.7*U533</f>
        <v>382006.8</v>
      </c>
      <c r="S533" s="1">
        <f t="shared" si="136"/>
        <v>109144.8</v>
      </c>
      <c r="T533" s="1">
        <f t="shared" si="137"/>
        <v>54572.400000000023</v>
      </c>
      <c r="U533" s="1">
        <v>545724</v>
      </c>
      <c r="V533" s="1">
        <f t="shared" si="132"/>
        <v>401537.83999999997</v>
      </c>
      <c r="W533" s="1">
        <v>3.7</v>
      </c>
    </row>
    <row r="534" spans="1:23" x14ac:dyDescent="0.25">
      <c r="A534" s="1" t="s">
        <v>128</v>
      </c>
      <c r="B534" s="1" t="s">
        <v>14</v>
      </c>
      <c r="C534" s="1" t="s">
        <v>408</v>
      </c>
      <c r="D534" s="1" t="s">
        <v>15</v>
      </c>
      <c r="E534" s="1" t="s">
        <v>16</v>
      </c>
      <c r="F534" s="1" t="s">
        <v>17</v>
      </c>
      <c r="G534" s="1" t="s">
        <v>72</v>
      </c>
      <c r="H534" s="1" t="s">
        <v>398</v>
      </c>
      <c r="I534" s="1" t="s">
        <v>396</v>
      </c>
      <c r="J534" s="1" t="s">
        <v>26</v>
      </c>
      <c r="K534" s="1">
        <v>146</v>
      </c>
      <c r="L534" s="1">
        <v>29971</v>
      </c>
      <c r="M534" s="2">
        <f t="shared" si="133"/>
        <v>4375766</v>
      </c>
      <c r="N534" s="1">
        <v>748255.99</v>
      </c>
      <c r="O534" s="1">
        <f t="shared" si="134"/>
        <v>5124021.99</v>
      </c>
      <c r="P534" s="1">
        <v>6739</v>
      </c>
      <c r="Q534" s="1">
        <f t="shared" si="135"/>
        <v>5117282.99</v>
      </c>
      <c r="R534" s="1">
        <f>0.62*U534</f>
        <v>1893949.96</v>
      </c>
      <c r="S534" s="1">
        <f>U534*0.2</f>
        <v>610951.6</v>
      </c>
      <c r="T534" s="1">
        <f t="shared" si="137"/>
        <v>549856.43999999994</v>
      </c>
      <c r="U534" s="1">
        <v>3054758</v>
      </c>
      <c r="V534" s="1">
        <f t="shared" si="132"/>
        <v>2062524.9900000002</v>
      </c>
      <c r="W534" s="1">
        <v>4.7</v>
      </c>
    </row>
    <row r="535" spans="1:23" x14ac:dyDescent="0.25">
      <c r="A535" s="1" t="s">
        <v>277</v>
      </c>
      <c r="B535" s="1" t="s">
        <v>51</v>
      </c>
      <c r="C535" s="1" t="s">
        <v>408</v>
      </c>
      <c r="D535" s="1" t="s">
        <v>52</v>
      </c>
      <c r="E535" s="1" t="s">
        <v>23</v>
      </c>
      <c r="F535" s="1" t="s">
        <v>59</v>
      </c>
      <c r="G535" s="1" t="s">
        <v>60</v>
      </c>
      <c r="H535" s="1" t="s">
        <v>399</v>
      </c>
      <c r="I535" s="1" t="s">
        <v>39</v>
      </c>
      <c r="J535" s="1" t="s">
        <v>46</v>
      </c>
      <c r="K535" s="1">
        <v>152</v>
      </c>
      <c r="L535" s="1">
        <v>12496</v>
      </c>
      <c r="M535" s="2">
        <f t="shared" si="133"/>
        <v>1899392</v>
      </c>
      <c r="N535" s="1">
        <v>341890.56</v>
      </c>
      <c r="O535" s="1">
        <f t="shared" si="134"/>
        <v>2241282.56</v>
      </c>
      <c r="P535" s="1">
        <v>9548</v>
      </c>
      <c r="Q535" s="1">
        <f t="shared" si="135"/>
        <v>2231734.56</v>
      </c>
      <c r="R535" s="1">
        <f t="shared" ref="R535:R536" si="141">0.7*U535</f>
        <v>1081662.3999999999</v>
      </c>
      <c r="S535" s="1">
        <f t="shared" si="136"/>
        <v>309046.40000000002</v>
      </c>
      <c r="T535" s="1">
        <f t="shared" si="137"/>
        <v>154523.20000000019</v>
      </c>
      <c r="U535" s="1">
        <v>1545232</v>
      </c>
      <c r="V535" s="1">
        <f t="shared" si="132"/>
        <v>686502.56</v>
      </c>
      <c r="W535" s="1">
        <v>4.7</v>
      </c>
    </row>
    <row r="536" spans="1:23" x14ac:dyDescent="0.25">
      <c r="A536" s="1" t="s">
        <v>322</v>
      </c>
      <c r="B536" s="1" t="s">
        <v>34</v>
      </c>
      <c r="C536" s="1" t="s">
        <v>408</v>
      </c>
      <c r="D536" s="1" t="s">
        <v>78</v>
      </c>
      <c r="E536" s="1" t="s">
        <v>49</v>
      </c>
      <c r="F536" s="1" t="s">
        <v>59</v>
      </c>
      <c r="G536" s="1" t="s">
        <v>60</v>
      </c>
      <c r="H536" s="1" t="s">
        <v>398</v>
      </c>
      <c r="I536" s="1" t="s">
        <v>397</v>
      </c>
      <c r="J536" s="1" t="s">
        <v>46</v>
      </c>
      <c r="K536" s="1">
        <v>85</v>
      </c>
      <c r="L536" s="1">
        <v>35249</v>
      </c>
      <c r="M536" s="2">
        <f t="shared" si="133"/>
        <v>2996165</v>
      </c>
      <c r="N536" s="1">
        <v>512344.21</v>
      </c>
      <c r="O536" s="1">
        <f t="shared" si="134"/>
        <v>3508509.21</v>
      </c>
      <c r="P536" s="1">
        <v>6597</v>
      </c>
      <c r="Q536" s="1">
        <f t="shared" si="135"/>
        <v>3501912.21</v>
      </c>
      <c r="R536" s="1">
        <f t="shared" si="141"/>
        <v>1379507.5</v>
      </c>
      <c r="S536" s="1">
        <f t="shared" si="136"/>
        <v>394145</v>
      </c>
      <c r="T536" s="1">
        <f t="shared" si="137"/>
        <v>197072.5</v>
      </c>
      <c r="U536" s="1">
        <v>1970725</v>
      </c>
      <c r="V536" s="1">
        <f t="shared" si="132"/>
        <v>1531187.21</v>
      </c>
      <c r="W536" s="1">
        <v>4</v>
      </c>
    </row>
    <row r="537" spans="1:23" x14ac:dyDescent="0.25">
      <c r="A537" s="1" t="s">
        <v>250</v>
      </c>
      <c r="B537" s="1" t="s">
        <v>77</v>
      </c>
      <c r="C537" s="1" t="s">
        <v>408</v>
      </c>
      <c r="D537" s="1" t="s">
        <v>55</v>
      </c>
      <c r="E537" s="1" t="s">
        <v>56</v>
      </c>
      <c r="F537" s="1" t="s">
        <v>29</v>
      </c>
      <c r="G537" s="1" t="s">
        <v>30</v>
      </c>
      <c r="H537" s="1" t="s">
        <v>399</v>
      </c>
      <c r="I537" s="1" t="s">
        <v>19</v>
      </c>
      <c r="J537" s="1" t="s">
        <v>46</v>
      </c>
      <c r="K537" s="1">
        <v>155</v>
      </c>
      <c r="L537" s="1">
        <v>5287</v>
      </c>
      <c r="M537" s="2">
        <f t="shared" si="133"/>
        <v>819485</v>
      </c>
      <c r="N537" s="1">
        <v>125381.21</v>
      </c>
      <c r="O537" s="1">
        <f t="shared" si="134"/>
        <v>944866.21</v>
      </c>
      <c r="P537" s="1">
        <v>8801</v>
      </c>
      <c r="Q537" s="1">
        <f t="shared" si="135"/>
        <v>936065.21</v>
      </c>
      <c r="R537" s="1">
        <v>384555</v>
      </c>
      <c r="S537" s="1">
        <f>U537*0.1</f>
        <v>51274</v>
      </c>
      <c r="T537" s="1">
        <f t="shared" si="137"/>
        <v>76911</v>
      </c>
      <c r="U537" s="1">
        <v>512740</v>
      </c>
      <c r="V537" s="1">
        <f t="shared" si="132"/>
        <v>423325.20999999996</v>
      </c>
      <c r="W537" s="1">
        <v>4.2</v>
      </c>
    </row>
    <row r="538" spans="1:23" x14ac:dyDescent="0.25">
      <c r="A538" s="1" t="s">
        <v>84</v>
      </c>
      <c r="B538" s="1" t="s">
        <v>58</v>
      </c>
      <c r="C538" s="1" t="s">
        <v>408</v>
      </c>
      <c r="D538" s="1" t="s">
        <v>52</v>
      </c>
      <c r="E538" s="1" t="s">
        <v>23</v>
      </c>
      <c r="F538" s="1" t="s">
        <v>24</v>
      </c>
      <c r="G538" s="1" t="s">
        <v>44</v>
      </c>
      <c r="H538" s="1" t="s">
        <v>398</v>
      </c>
      <c r="I538" s="1" t="s">
        <v>19</v>
      </c>
      <c r="J538" s="1" t="s">
        <v>26</v>
      </c>
      <c r="K538" s="1">
        <v>75</v>
      </c>
      <c r="L538" s="1">
        <v>31985</v>
      </c>
      <c r="M538" s="2">
        <f t="shared" si="133"/>
        <v>2398875</v>
      </c>
      <c r="N538" s="1">
        <v>397253.7</v>
      </c>
      <c r="O538" s="1">
        <f t="shared" si="134"/>
        <v>2796128.7</v>
      </c>
      <c r="P538" s="1">
        <v>9972</v>
      </c>
      <c r="Q538" s="1">
        <f t="shared" si="135"/>
        <v>2786156.7</v>
      </c>
      <c r="R538" s="1">
        <v>1168593.75</v>
      </c>
      <c r="S538" s="1">
        <f t="shared" si="136"/>
        <v>311625</v>
      </c>
      <c r="T538" s="1">
        <f t="shared" si="137"/>
        <v>77906.25</v>
      </c>
      <c r="U538" s="1">
        <v>1558125</v>
      </c>
      <c r="V538" s="1">
        <f t="shared" si="132"/>
        <v>1228031.7000000002</v>
      </c>
      <c r="W538" s="1">
        <v>3.8</v>
      </c>
    </row>
    <row r="539" spans="1:23" x14ac:dyDescent="0.25">
      <c r="A539" s="1" t="s">
        <v>90</v>
      </c>
      <c r="B539" s="1" t="s">
        <v>37</v>
      </c>
      <c r="C539" s="1" t="s">
        <v>408</v>
      </c>
      <c r="D539" s="1" t="s">
        <v>22</v>
      </c>
      <c r="E539" s="1" t="s">
        <v>23</v>
      </c>
      <c r="F539" s="1" t="s">
        <v>29</v>
      </c>
      <c r="G539" s="1" t="s">
        <v>87</v>
      </c>
      <c r="H539" s="1" t="s">
        <v>399</v>
      </c>
      <c r="I539" s="1" t="s">
        <v>397</v>
      </c>
      <c r="J539" s="1" t="s">
        <v>26</v>
      </c>
      <c r="K539" s="1">
        <v>154</v>
      </c>
      <c r="L539" s="1">
        <v>1146</v>
      </c>
      <c r="M539" s="2">
        <f t="shared" si="133"/>
        <v>176484</v>
      </c>
      <c r="N539" s="1">
        <v>27955.07</v>
      </c>
      <c r="O539" s="1">
        <f t="shared" si="134"/>
        <v>204439.07</v>
      </c>
      <c r="P539" s="1">
        <v>9084</v>
      </c>
      <c r="Q539" s="1">
        <f t="shared" si="135"/>
        <v>195355.07</v>
      </c>
      <c r="R539" s="1">
        <v>56056</v>
      </c>
      <c r="S539" s="1">
        <f t="shared" ref="S539:S540" si="142">U539*0.1</f>
        <v>11211.2</v>
      </c>
      <c r="T539" s="1">
        <f t="shared" si="137"/>
        <v>44844.800000000003</v>
      </c>
      <c r="U539" s="1">
        <v>112112</v>
      </c>
      <c r="V539" s="1">
        <f t="shared" si="132"/>
        <v>83243.070000000007</v>
      </c>
      <c r="W539" s="1">
        <v>3.6</v>
      </c>
    </row>
    <row r="540" spans="1:23" x14ac:dyDescent="0.25">
      <c r="A540" s="1" t="s">
        <v>342</v>
      </c>
      <c r="B540" s="1" t="s">
        <v>14</v>
      </c>
      <c r="C540" s="1" t="s">
        <v>408</v>
      </c>
      <c r="D540" s="1" t="s">
        <v>62</v>
      </c>
      <c r="E540" s="1" t="s">
        <v>43</v>
      </c>
      <c r="F540" s="1" t="s">
        <v>29</v>
      </c>
      <c r="G540" s="1" t="s">
        <v>53</v>
      </c>
      <c r="H540" s="1" t="s">
        <v>399</v>
      </c>
      <c r="I540" s="1" t="s">
        <v>395</v>
      </c>
      <c r="J540" s="1" t="s">
        <v>46</v>
      </c>
      <c r="K540" s="1">
        <v>127</v>
      </c>
      <c r="L540" s="1">
        <v>30432</v>
      </c>
      <c r="M540" s="2">
        <f t="shared" si="133"/>
        <v>3864864</v>
      </c>
      <c r="N540" s="1">
        <v>695675.52</v>
      </c>
      <c r="O540" s="1">
        <f t="shared" si="134"/>
        <v>4560539.5199999996</v>
      </c>
      <c r="P540" s="1">
        <v>7453</v>
      </c>
      <c r="Q540" s="1">
        <f t="shared" si="135"/>
        <v>4553086.5199999996</v>
      </c>
      <c r="R540" s="1">
        <v>612298.75</v>
      </c>
      <c r="S540" s="1">
        <f t="shared" si="142"/>
        <v>244919.5</v>
      </c>
      <c r="T540" s="1">
        <f t="shared" si="137"/>
        <v>1591976.75</v>
      </c>
      <c r="U540" s="1">
        <v>2449195</v>
      </c>
      <c r="V540" s="1">
        <f t="shared" si="132"/>
        <v>2103891.5199999996</v>
      </c>
      <c r="W540" s="1">
        <v>4.8</v>
      </c>
    </row>
    <row r="541" spans="1:23" x14ac:dyDescent="0.25">
      <c r="A541" s="1" t="s">
        <v>218</v>
      </c>
      <c r="B541" s="1" t="s">
        <v>109</v>
      </c>
      <c r="C541" s="1" t="s">
        <v>408</v>
      </c>
      <c r="D541" s="1" t="s">
        <v>62</v>
      </c>
      <c r="E541" s="1" t="s">
        <v>43</v>
      </c>
      <c r="F541" s="1" t="s">
        <v>59</v>
      </c>
      <c r="G541" s="1" t="s">
        <v>67</v>
      </c>
      <c r="H541" s="1" t="s">
        <v>399</v>
      </c>
      <c r="I541" s="1" t="s">
        <v>396</v>
      </c>
      <c r="J541" s="1" t="s">
        <v>46</v>
      </c>
      <c r="K541" s="1">
        <v>78</v>
      </c>
      <c r="L541" s="1">
        <v>14585</v>
      </c>
      <c r="M541" s="2">
        <f t="shared" si="133"/>
        <v>1137630</v>
      </c>
      <c r="N541" s="1">
        <v>204773.4</v>
      </c>
      <c r="O541" s="1">
        <f t="shared" si="134"/>
        <v>1342403.4</v>
      </c>
      <c r="P541" s="1">
        <v>6018</v>
      </c>
      <c r="Q541" s="1">
        <f t="shared" si="135"/>
        <v>1336385.3999999999</v>
      </c>
      <c r="R541" s="1">
        <f>0.7*U541</f>
        <v>627681.6</v>
      </c>
      <c r="S541" s="1">
        <f t="shared" si="136"/>
        <v>179337.60000000001</v>
      </c>
      <c r="T541" s="1">
        <f t="shared" si="137"/>
        <v>89668.800000000047</v>
      </c>
      <c r="U541" s="1">
        <v>896688</v>
      </c>
      <c r="V541" s="1">
        <f t="shared" si="132"/>
        <v>439697.39999999991</v>
      </c>
      <c r="W541" s="1">
        <v>4.5999999999999996</v>
      </c>
    </row>
    <row r="542" spans="1:23" x14ac:dyDescent="0.25">
      <c r="A542" s="1" t="s">
        <v>194</v>
      </c>
      <c r="B542" s="1" t="s">
        <v>58</v>
      </c>
      <c r="C542" s="1" t="s">
        <v>408</v>
      </c>
      <c r="D542" s="1" t="s">
        <v>62</v>
      </c>
      <c r="E542" s="1" t="s">
        <v>43</v>
      </c>
      <c r="F542" s="1" t="s">
        <v>24</v>
      </c>
      <c r="G542" s="1" t="s">
        <v>143</v>
      </c>
      <c r="H542" s="1" t="s">
        <v>399</v>
      </c>
      <c r="I542" s="1" t="s">
        <v>396</v>
      </c>
      <c r="J542" s="1" t="s">
        <v>26</v>
      </c>
      <c r="K542" s="1">
        <v>34</v>
      </c>
      <c r="L542" s="1">
        <v>26891</v>
      </c>
      <c r="M542" s="2">
        <f t="shared" si="133"/>
        <v>914294</v>
      </c>
      <c r="N542" s="1">
        <v>151407.09</v>
      </c>
      <c r="O542" s="1">
        <f t="shared" si="134"/>
        <v>1065701.0900000001</v>
      </c>
      <c r="P542" s="1">
        <v>9654</v>
      </c>
      <c r="Q542" s="1">
        <f t="shared" si="135"/>
        <v>1056047.0900000001</v>
      </c>
      <c r="R542" s="1">
        <v>320909</v>
      </c>
      <c r="S542" s="1">
        <f t="shared" si="136"/>
        <v>128363.6</v>
      </c>
      <c r="T542" s="1">
        <f t="shared" si="137"/>
        <v>192545.40000000002</v>
      </c>
      <c r="U542" s="1">
        <v>641818</v>
      </c>
      <c r="V542" s="1">
        <f t="shared" si="132"/>
        <v>414229.09000000008</v>
      </c>
      <c r="W542" s="1">
        <v>4.5999999999999996</v>
      </c>
    </row>
    <row r="543" spans="1:23" x14ac:dyDescent="0.25">
      <c r="A543" s="1" t="s">
        <v>343</v>
      </c>
      <c r="B543" s="1" t="s">
        <v>109</v>
      </c>
      <c r="C543" s="1" t="s">
        <v>408</v>
      </c>
      <c r="D543" s="1" t="s">
        <v>62</v>
      </c>
      <c r="E543" s="1" t="s">
        <v>43</v>
      </c>
      <c r="F543" s="1" t="s">
        <v>24</v>
      </c>
      <c r="G543" s="1" t="s">
        <v>63</v>
      </c>
      <c r="H543" s="1" t="s">
        <v>398</v>
      </c>
      <c r="I543" s="1" t="s">
        <v>396</v>
      </c>
      <c r="J543" s="1" t="s">
        <v>46</v>
      </c>
      <c r="K543" s="1">
        <v>47</v>
      </c>
      <c r="L543" s="1">
        <v>2316</v>
      </c>
      <c r="M543" s="2">
        <f t="shared" si="133"/>
        <v>108852</v>
      </c>
      <c r="N543" s="1">
        <v>16654.36</v>
      </c>
      <c r="O543" s="1">
        <f t="shared" si="134"/>
        <v>125506.36</v>
      </c>
      <c r="P543" s="1">
        <v>8339</v>
      </c>
      <c r="Q543" s="1">
        <f t="shared" si="135"/>
        <v>117167.36</v>
      </c>
      <c r="R543" s="1">
        <v>63309</v>
      </c>
      <c r="S543" s="1">
        <f t="shared" si="136"/>
        <v>16882.400000000001</v>
      </c>
      <c r="T543" s="1">
        <f t="shared" si="137"/>
        <v>4220.6000000000058</v>
      </c>
      <c r="U543" s="1">
        <v>84412</v>
      </c>
      <c r="V543" s="1">
        <f t="shared" si="132"/>
        <v>32755.360000000001</v>
      </c>
      <c r="W543" s="1">
        <v>4.9000000000000004</v>
      </c>
    </row>
    <row r="544" spans="1:23" x14ac:dyDescent="0.25">
      <c r="A544" s="1" t="s">
        <v>344</v>
      </c>
      <c r="B544" s="1" t="s">
        <v>14</v>
      </c>
      <c r="C544" s="1" t="s">
        <v>408</v>
      </c>
      <c r="D544" s="1" t="s">
        <v>78</v>
      </c>
      <c r="E544" s="1" t="s">
        <v>49</v>
      </c>
      <c r="F544" s="1" t="s">
        <v>29</v>
      </c>
      <c r="G544" s="1" t="s">
        <v>91</v>
      </c>
      <c r="H544" s="1" t="s">
        <v>398</v>
      </c>
      <c r="I544" s="1" t="s">
        <v>19</v>
      </c>
      <c r="J544" s="1" t="s">
        <v>26</v>
      </c>
      <c r="K544" s="1">
        <v>94</v>
      </c>
      <c r="L544" s="1">
        <v>6151</v>
      </c>
      <c r="M544" s="2">
        <f t="shared" si="133"/>
        <v>578194</v>
      </c>
      <c r="N544" s="1">
        <v>95748.93</v>
      </c>
      <c r="O544" s="1">
        <f t="shared" si="134"/>
        <v>673942.92999999993</v>
      </c>
      <c r="P544" s="1">
        <v>5970</v>
      </c>
      <c r="Q544" s="1">
        <f t="shared" si="135"/>
        <v>667972.92999999993</v>
      </c>
      <c r="R544" s="1">
        <v>299343</v>
      </c>
      <c r="S544" s="1">
        <f>U544*0.1</f>
        <v>39912.400000000001</v>
      </c>
      <c r="T544" s="1">
        <f t="shared" si="137"/>
        <v>59868.599999999977</v>
      </c>
      <c r="U544" s="1">
        <v>399124</v>
      </c>
      <c r="V544" s="1">
        <f t="shared" si="132"/>
        <v>268848.92999999993</v>
      </c>
      <c r="W544" s="1">
        <v>3.7</v>
      </c>
    </row>
    <row r="545" spans="1:23" x14ac:dyDescent="0.25">
      <c r="A545" s="1" t="s">
        <v>57</v>
      </c>
      <c r="B545" s="1" t="s">
        <v>14</v>
      </c>
      <c r="C545" s="1" t="s">
        <v>408</v>
      </c>
      <c r="D545" s="1" t="s">
        <v>62</v>
      </c>
      <c r="E545" s="1" t="s">
        <v>43</v>
      </c>
      <c r="F545" s="1" t="s">
        <v>24</v>
      </c>
      <c r="G545" s="1" t="s">
        <v>143</v>
      </c>
      <c r="H545" s="1" t="s">
        <v>399</v>
      </c>
      <c r="I545" s="1" t="s">
        <v>395</v>
      </c>
      <c r="J545" s="1" t="s">
        <v>46</v>
      </c>
      <c r="K545" s="1">
        <v>119</v>
      </c>
      <c r="L545" s="1">
        <v>3419</v>
      </c>
      <c r="M545" s="2">
        <f t="shared" si="133"/>
        <v>406861</v>
      </c>
      <c r="N545" s="1">
        <v>67376.179999999993</v>
      </c>
      <c r="O545" s="1">
        <f t="shared" si="134"/>
        <v>474237.18</v>
      </c>
      <c r="P545" s="1">
        <v>5045</v>
      </c>
      <c r="Q545" s="1">
        <f t="shared" si="135"/>
        <v>469192.18</v>
      </c>
      <c r="R545" s="1">
        <v>160114.5</v>
      </c>
      <c r="S545" s="1">
        <f t="shared" si="136"/>
        <v>64045.8</v>
      </c>
      <c r="T545" s="1">
        <f t="shared" si="137"/>
        <v>96068.700000000012</v>
      </c>
      <c r="U545" s="1">
        <v>320229</v>
      </c>
      <c r="V545" s="1">
        <f t="shared" si="132"/>
        <v>148963.18</v>
      </c>
      <c r="W545" s="1">
        <v>5</v>
      </c>
    </row>
    <row r="546" spans="1:23" x14ac:dyDescent="0.25">
      <c r="A546" s="1" t="s">
        <v>151</v>
      </c>
      <c r="B546" s="1" t="s">
        <v>69</v>
      </c>
      <c r="C546" s="1" t="s">
        <v>408</v>
      </c>
      <c r="D546" s="1" t="s">
        <v>52</v>
      </c>
      <c r="E546" s="1" t="s">
        <v>23</v>
      </c>
      <c r="F546" s="1" t="s">
        <v>17</v>
      </c>
      <c r="G546" s="1" t="s">
        <v>35</v>
      </c>
      <c r="H546" s="1" t="s">
        <v>399</v>
      </c>
      <c r="I546" s="1" t="s">
        <v>39</v>
      </c>
      <c r="J546" s="1" t="s">
        <v>26</v>
      </c>
      <c r="K546" s="1">
        <v>160</v>
      </c>
      <c r="L546" s="1">
        <v>24202</v>
      </c>
      <c r="M546" s="2">
        <f t="shared" si="133"/>
        <v>3872320</v>
      </c>
      <c r="N546" s="1">
        <v>662166.72</v>
      </c>
      <c r="O546" s="1">
        <f t="shared" si="134"/>
        <v>4534486.72</v>
      </c>
      <c r="P546" s="1">
        <v>8433</v>
      </c>
      <c r="Q546" s="1">
        <f t="shared" si="135"/>
        <v>4526053.72</v>
      </c>
      <c r="R546" s="1">
        <f>0.62*U546</f>
        <v>1957910.4</v>
      </c>
      <c r="S546" s="1">
        <f>U546*0.2</f>
        <v>631584</v>
      </c>
      <c r="T546" s="1">
        <f t="shared" si="137"/>
        <v>568425.60000000009</v>
      </c>
      <c r="U546" s="1">
        <v>3157920</v>
      </c>
      <c r="V546" s="1">
        <f t="shared" si="132"/>
        <v>1368133.7199999997</v>
      </c>
      <c r="W546" s="1">
        <v>3.7</v>
      </c>
    </row>
    <row r="547" spans="1:23" x14ac:dyDescent="0.25">
      <c r="A547" s="1" t="s">
        <v>311</v>
      </c>
      <c r="B547" s="1" t="s">
        <v>32</v>
      </c>
      <c r="C547" s="1" t="s">
        <v>408</v>
      </c>
      <c r="D547" s="1" t="s">
        <v>55</v>
      </c>
      <c r="E547" s="1" t="s">
        <v>56</v>
      </c>
      <c r="F547" s="1" t="s">
        <v>24</v>
      </c>
      <c r="G547" s="1" t="s">
        <v>25</v>
      </c>
      <c r="H547" s="1" t="s">
        <v>399</v>
      </c>
      <c r="I547" s="1" t="s">
        <v>39</v>
      </c>
      <c r="J547" s="1" t="s">
        <v>46</v>
      </c>
      <c r="K547" s="1">
        <v>104</v>
      </c>
      <c r="L547" s="1">
        <v>25955</v>
      </c>
      <c r="M547" s="2">
        <f t="shared" si="133"/>
        <v>2699320</v>
      </c>
      <c r="N547" s="1">
        <v>485877.6</v>
      </c>
      <c r="O547" s="1">
        <f t="shared" si="134"/>
        <v>3185197.6</v>
      </c>
      <c r="P547" s="1">
        <v>8437</v>
      </c>
      <c r="Q547" s="1">
        <f t="shared" si="135"/>
        <v>3176760.6</v>
      </c>
      <c r="R547" s="1">
        <v>849888</v>
      </c>
      <c r="S547" s="1">
        <f t="shared" si="136"/>
        <v>339955.20000000001</v>
      </c>
      <c r="T547" s="1">
        <f t="shared" si="137"/>
        <v>509932.80000000005</v>
      </c>
      <c r="U547" s="1">
        <v>1699776</v>
      </c>
      <c r="V547" s="1">
        <f t="shared" si="132"/>
        <v>1476984.6</v>
      </c>
      <c r="W547" s="1">
        <v>3.8</v>
      </c>
    </row>
    <row r="548" spans="1:23" x14ac:dyDescent="0.25">
      <c r="A548" s="1" t="s">
        <v>285</v>
      </c>
      <c r="B548" s="1" t="s">
        <v>21</v>
      </c>
      <c r="C548" s="1" t="s">
        <v>408</v>
      </c>
      <c r="D548" s="1" t="s">
        <v>74</v>
      </c>
      <c r="E548" s="1" t="s">
        <v>56</v>
      </c>
      <c r="F548" s="1" t="s">
        <v>59</v>
      </c>
      <c r="G548" s="1" t="s">
        <v>85</v>
      </c>
      <c r="H548" s="1" t="s">
        <v>398</v>
      </c>
      <c r="I548" s="1" t="s">
        <v>19</v>
      </c>
      <c r="J548" s="1" t="s">
        <v>26</v>
      </c>
      <c r="K548" s="1">
        <v>118</v>
      </c>
      <c r="L548" s="1">
        <v>19000</v>
      </c>
      <c r="M548" s="2">
        <f t="shared" si="133"/>
        <v>2242000</v>
      </c>
      <c r="N548" s="1">
        <v>371275.2</v>
      </c>
      <c r="O548" s="1">
        <f t="shared" si="134"/>
        <v>2613275.2000000002</v>
      </c>
      <c r="P548" s="1">
        <v>6249</v>
      </c>
      <c r="Q548" s="1">
        <f t="shared" si="135"/>
        <v>2607026.2000000002</v>
      </c>
      <c r="R548" s="1">
        <f>0.7*U548</f>
        <v>1056867</v>
      </c>
      <c r="S548" s="1">
        <f t="shared" si="136"/>
        <v>301962</v>
      </c>
      <c r="T548" s="1">
        <f t="shared" si="137"/>
        <v>150981</v>
      </c>
      <c r="U548" s="1">
        <v>1509810</v>
      </c>
      <c r="V548" s="1">
        <f t="shared" si="132"/>
        <v>1097216.2000000002</v>
      </c>
      <c r="W548" s="1">
        <v>5</v>
      </c>
    </row>
    <row r="549" spans="1:23" x14ac:dyDescent="0.25">
      <c r="A549" s="1" t="s">
        <v>211</v>
      </c>
      <c r="B549" s="1" t="s">
        <v>109</v>
      </c>
      <c r="C549" s="1" t="s">
        <v>408</v>
      </c>
      <c r="D549" s="1" t="s">
        <v>48</v>
      </c>
      <c r="E549" s="1" t="s">
        <v>49</v>
      </c>
      <c r="F549" s="1" t="s">
        <v>29</v>
      </c>
      <c r="G549" s="1" t="s">
        <v>30</v>
      </c>
      <c r="H549" s="1" t="s">
        <v>398</v>
      </c>
      <c r="I549" s="1" t="s">
        <v>19</v>
      </c>
      <c r="J549" s="1" t="s">
        <v>26</v>
      </c>
      <c r="K549" s="1">
        <v>17</v>
      </c>
      <c r="L549" s="1">
        <v>36824</v>
      </c>
      <c r="M549" s="2">
        <f t="shared" si="133"/>
        <v>626008</v>
      </c>
      <c r="N549" s="1">
        <v>112681.44</v>
      </c>
      <c r="O549" s="1">
        <f t="shared" si="134"/>
        <v>738689.44</v>
      </c>
      <c r="P549" s="1">
        <v>7303</v>
      </c>
      <c r="Q549" s="1">
        <f t="shared" si="135"/>
        <v>731386.44</v>
      </c>
      <c r="R549" s="1">
        <v>208224.5</v>
      </c>
      <c r="S549" s="1">
        <f>U549*0.1</f>
        <v>41644.9</v>
      </c>
      <c r="T549" s="1">
        <f t="shared" si="137"/>
        <v>166579.59999999998</v>
      </c>
      <c r="U549" s="1">
        <v>416449</v>
      </c>
      <c r="V549" s="1">
        <f t="shared" si="132"/>
        <v>314937.43999999994</v>
      </c>
      <c r="W549" s="1">
        <v>4.7</v>
      </c>
    </row>
    <row r="550" spans="1:23" x14ac:dyDescent="0.25">
      <c r="A550" s="1" t="s">
        <v>325</v>
      </c>
      <c r="B550" s="1" t="s">
        <v>109</v>
      </c>
      <c r="C550" s="1" t="s">
        <v>408</v>
      </c>
      <c r="D550" s="1" t="s">
        <v>52</v>
      </c>
      <c r="E550" s="1" t="s">
        <v>23</v>
      </c>
      <c r="F550" s="1" t="s">
        <v>24</v>
      </c>
      <c r="G550" s="1" t="s">
        <v>143</v>
      </c>
      <c r="H550" s="1" t="s">
        <v>398</v>
      </c>
      <c r="I550" s="1" t="s">
        <v>39</v>
      </c>
      <c r="J550" s="1" t="s">
        <v>46</v>
      </c>
      <c r="K550" s="1">
        <v>116</v>
      </c>
      <c r="L550" s="1">
        <v>15747</v>
      </c>
      <c r="M550" s="2">
        <f t="shared" si="133"/>
        <v>1826652</v>
      </c>
      <c r="N550" s="1">
        <v>302493.57</v>
      </c>
      <c r="O550" s="1">
        <f t="shared" si="134"/>
        <v>2129145.5699999998</v>
      </c>
      <c r="P550" s="1">
        <v>8327</v>
      </c>
      <c r="Q550" s="1">
        <f t="shared" si="135"/>
        <v>2120818.5699999998</v>
      </c>
      <c r="R550" s="1">
        <v>311634</v>
      </c>
      <c r="S550" s="1">
        <f t="shared" si="136"/>
        <v>249307.2</v>
      </c>
      <c r="T550" s="1">
        <f t="shared" si="137"/>
        <v>685594.8</v>
      </c>
      <c r="U550" s="1">
        <v>1246536</v>
      </c>
      <c r="V550" s="1">
        <f t="shared" si="132"/>
        <v>874282.56999999983</v>
      </c>
      <c r="W550" s="1">
        <v>4.4000000000000004</v>
      </c>
    </row>
    <row r="551" spans="1:23" x14ac:dyDescent="0.25">
      <c r="A551" s="1" t="s">
        <v>132</v>
      </c>
      <c r="B551" s="1" t="s">
        <v>34</v>
      </c>
      <c r="C551" s="1" t="s">
        <v>408</v>
      </c>
      <c r="D551" s="1" t="s">
        <v>55</v>
      </c>
      <c r="E551" s="1" t="s">
        <v>56</v>
      </c>
      <c r="F551" s="1" t="s">
        <v>24</v>
      </c>
      <c r="G551" s="1" t="s">
        <v>44</v>
      </c>
      <c r="H551" s="1" t="s">
        <v>398</v>
      </c>
      <c r="I551" s="1" t="s">
        <v>19</v>
      </c>
      <c r="J551" s="1" t="s">
        <v>46</v>
      </c>
      <c r="K551" s="1">
        <v>104</v>
      </c>
      <c r="L551" s="1">
        <v>26484</v>
      </c>
      <c r="M551" s="2">
        <f t="shared" si="133"/>
        <v>2754336</v>
      </c>
      <c r="N551" s="1">
        <v>495780.48</v>
      </c>
      <c r="O551" s="1">
        <f t="shared" si="134"/>
        <v>3250116.48</v>
      </c>
      <c r="P551" s="1">
        <v>7630</v>
      </c>
      <c r="Q551" s="1">
        <f t="shared" si="135"/>
        <v>3242486.48</v>
      </c>
      <c r="R551" s="1">
        <v>910104</v>
      </c>
      <c r="S551" s="1">
        <f t="shared" si="136"/>
        <v>364041.60000000003</v>
      </c>
      <c r="T551" s="1">
        <f t="shared" si="137"/>
        <v>546062.39999999991</v>
      </c>
      <c r="U551" s="1">
        <v>1820208</v>
      </c>
      <c r="V551" s="1">
        <f t="shared" si="132"/>
        <v>1422278.48</v>
      </c>
      <c r="W551" s="1">
        <v>5</v>
      </c>
    </row>
    <row r="552" spans="1:23" x14ac:dyDescent="0.25">
      <c r="A552" s="1" t="s">
        <v>185</v>
      </c>
      <c r="B552" s="1" t="s">
        <v>77</v>
      </c>
      <c r="C552" s="1" t="s">
        <v>408</v>
      </c>
      <c r="D552" s="1" t="s">
        <v>62</v>
      </c>
      <c r="E552" s="1" t="s">
        <v>43</v>
      </c>
      <c r="F552" s="1" t="s">
        <v>17</v>
      </c>
      <c r="G552" s="1" t="s">
        <v>75</v>
      </c>
      <c r="H552" s="1" t="s">
        <v>399</v>
      </c>
      <c r="I552" s="1" t="s">
        <v>396</v>
      </c>
      <c r="J552" s="1" t="s">
        <v>26</v>
      </c>
      <c r="K552" s="1">
        <v>192</v>
      </c>
      <c r="L552" s="1">
        <v>20824</v>
      </c>
      <c r="M552" s="2">
        <f t="shared" si="133"/>
        <v>3998208</v>
      </c>
      <c r="N552" s="1">
        <v>611725.81999999995</v>
      </c>
      <c r="O552" s="1">
        <f t="shared" si="134"/>
        <v>4609933.82</v>
      </c>
      <c r="P552" s="1">
        <v>8013</v>
      </c>
      <c r="Q552" s="1">
        <f t="shared" si="135"/>
        <v>4601920.82</v>
      </c>
      <c r="R552" s="1">
        <f>0.62*U552</f>
        <v>1729413.1199999999</v>
      </c>
      <c r="S552" s="1">
        <f>U552*0.2</f>
        <v>557875.20000000007</v>
      </c>
      <c r="T552" s="1">
        <f t="shared" si="137"/>
        <v>502087.67999999993</v>
      </c>
      <c r="U552" s="1">
        <v>2789376</v>
      </c>
      <c r="V552" s="1">
        <f t="shared" si="132"/>
        <v>1812544.8200000003</v>
      </c>
      <c r="W552" s="1">
        <v>3.8</v>
      </c>
    </row>
    <row r="553" spans="1:23" x14ac:dyDescent="0.25">
      <c r="A553" s="1" t="s">
        <v>278</v>
      </c>
      <c r="B553" s="1" t="s">
        <v>37</v>
      </c>
      <c r="C553" s="1" t="s">
        <v>408</v>
      </c>
      <c r="D553" s="1" t="s">
        <v>22</v>
      </c>
      <c r="E553" s="1" t="s">
        <v>23</v>
      </c>
      <c r="F553" s="1" t="s">
        <v>59</v>
      </c>
      <c r="G553" s="1" t="s">
        <v>85</v>
      </c>
      <c r="H553" s="1" t="s">
        <v>399</v>
      </c>
      <c r="I553" s="1" t="s">
        <v>19</v>
      </c>
      <c r="J553" s="1" t="s">
        <v>46</v>
      </c>
      <c r="K553" s="1">
        <v>192</v>
      </c>
      <c r="L553" s="1">
        <v>25202</v>
      </c>
      <c r="M553" s="2">
        <f t="shared" si="133"/>
        <v>4838784</v>
      </c>
      <c r="N553" s="1">
        <v>801302.63</v>
      </c>
      <c r="O553" s="1">
        <f t="shared" si="134"/>
        <v>5640086.6299999999</v>
      </c>
      <c r="P553" s="1">
        <v>6845</v>
      </c>
      <c r="Q553" s="1">
        <f t="shared" si="135"/>
        <v>5633241.6299999999</v>
      </c>
      <c r="R553" s="1">
        <f>0.7*U553</f>
        <v>2169753.6000000001</v>
      </c>
      <c r="S553" s="1">
        <f t="shared" si="136"/>
        <v>619929.59999999998</v>
      </c>
      <c r="T553" s="1">
        <f t="shared" si="137"/>
        <v>309964.79999999981</v>
      </c>
      <c r="U553" s="1">
        <v>3099648</v>
      </c>
      <c r="V553" s="1">
        <f t="shared" si="132"/>
        <v>2533593.63</v>
      </c>
      <c r="W553" s="1">
        <v>4.7</v>
      </c>
    </row>
    <row r="554" spans="1:23" x14ac:dyDescent="0.25">
      <c r="A554" s="1" t="s">
        <v>82</v>
      </c>
      <c r="B554" s="1" t="s">
        <v>21</v>
      </c>
      <c r="C554" s="1" t="s">
        <v>408</v>
      </c>
      <c r="D554" s="1" t="s">
        <v>62</v>
      </c>
      <c r="E554" s="1" t="s">
        <v>43</v>
      </c>
      <c r="F554" s="1" t="s">
        <v>17</v>
      </c>
      <c r="G554" s="1" t="s">
        <v>18</v>
      </c>
      <c r="H554" s="1" t="s">
        <v>398</v>
      </c>
      <c r="I554" s="1" t="s">
        <v>395</v>
      </c>
      <c r="J554" s="1" t="s">
        <v>26</v>
      </c>
      <c r="K554" s="1">
        <v>56</v>
      </c>
      <c r="L554" s="1">
        <v>6032</v>
      </c>
      <c r="M554" s="2">
        <f t="shared" si="133"/>
        <v>337792</v>
      </c>
      <c r="N554" s="1">
        <v>53506.25</v>
      </c>
      <c r="O554" s="1">
        <f t="shared" si="134"/>
        <v>391298.25</v>
      </c>
      <c r="P554" s="1">
        <v>6643</v>
      </c>
      <c r="Q554" s="1">
        <f t="shared" si="135"/>
        <v>384655.25</v>
      </c>
      <c r="R554" s="1">
        <f>0.62*U554</f>
        <v>135060.79999999999</v>
      </c>
      <c r="S554" s="1">
        <f>U554*0.2</f>
        <v>43568</v>
      </c>
      <c r="T554" s="1">
        <f t="shared" si="137"/>
        <v>39211.200000000012</v>
      </c>
      <c r="U554" s="1">
        <v>217840</v>
      </c>
      <c r="V554" s="1">
        <f t="shared" si="132"/>
        <v>166815.25</v>
      </c>
      <c r="W554" s="1">
        <v>3.5</v>
      </c>
    </row>
    <row r="555" spans="1:23" x14ac:dyDescent="0.25">
      <c r="A555" s="1" t="s">
        <v>345</v>
      </c>
      <c r="B555" s="1" t="s">
        <v>77</v>
      </c>
      <c r="C555" s="1" t="s">
        <v>408</v>
      </c>
      <c r="D555" s="1" t="s">
        <v>78</v>
      </c>
      <c r="E555" s="1" t="s">
        <v>49</v>
      </c>
      <c r="F555" s="1" t="s">
        <v>24</v>
      </c>
      <c r="G555" s="1" t="s">
        <v>44</v>
      </c>
      <c r="H555" s="1" t="s">
        <v>399</v>
      </c>
      <c r="I555" s="1" t="s">
        <v>19</v>
      </c>
      <c r="J555" s="1" t="s">
        <v>26</v>
      </c>
      <c r="K555" s="1">
        <v>110</v>
      </c>
      <c r="L555" s="1">
        <v>25844</v>
      </c>
      <c r="M555" s="2">
        <f t="shared" si="133"/>
        <v>2842840</v>
      </c>
      <c r="N555" s="1">
        <v>434954.52</v>
      </c>
      <c r="O555" s="1">
        <f t="shared" si="134"/>
        <v>3277794.52</v>
      </c>
      <c r="P555" s="1">
        <v>5999</v>
      </c>
      <c r="Q555" s="1">
        <f t="shared" si="135"/>
        <v>3271795.52</v>
      </c>
      <c r="R555" s="1">
        <v>469425</v>
      </c>
      <c r="S555" s="1">
        <f t="shared" si="136"/>
        <v>375540</v>
      </c>
      <c r="T555" s="1">
        <f t="shared" si="137"/>
        <v>1032735</v>
      </c>
      <c r="U555" s="1">
        <v>1877700</v>
      </c>
      <c r="V555" s="1">
        <f t="shared" si="132"/>
        <v>1394095.52</v>
      </c>
      <c r="W555" s="1">
        <v>4.8</v>
      </c>
    </row>
    <row r="556" spans="1:23" x14ac:dyDescent="0.25">
      <c r="A556" s="1" t="s">
        <v>305</v>
      </c>
      <c r="B556" s="1" t="s">
        <v>37</v>
      </c>
      <c r="C556" s="1" t="s">
        <v>408</v>
      </c>
      <c r="D556" s="1" t="s">
        <v>62</v>
      </c>
      <c r="E556" s="1" t="s">
        <v>43</v>
      </c>
      <c r="F556" s="1" t="s">
        <v>59</v>
      </c>
      <c r="G556" s="1" t="s">
        <v>121</v>
      </c>
      <c r="H556" s="1" t="s">
        <v>399</v>
      </c>
      <c r="I556" s="1" t="s">
        <v>396</v>
      </c>
      <c r="J556" s="1" t="s">
        <v>46</v>
      </c>
      <c r="K556" s="1">
        <v>142</v>
      </c>
      <c r="L556" s="1">
        <v>25947</v>
      </c>
      <c r="M556" s="2">
        <f t="shared" si="133"/>
        <v>3684474</v>
      </c>
      <c r="N556" s="1">
        <v>630045.05000000005</v>
      </c>
      <c r="O556" s="1">
        <f t="shared" si="134"/>
        <v>4314519.05</v>
      </c>
      <c r="P556" s="1">
        <v>5545</v>
      </c>
      <c r="Q556" s="1">
        <f t="shared" si="135"/>
        <v>4308974.05</v>
      </c>
      <c r="R556" s="1">
        <f>0.7*U556</f>
        <v>1870210.9999999998</v>
      </c>
      <c r="S556" s="1">
        <f t="shared" si="136"/>
        <v>534346</v>
      </c>
      <c r="T556" s="1">
        <f t="shared" si="137"/>
        <v>267173.00000000023</v>
      </c>
      <c r="U556" s="1">
        <v>2671730</v>
      </c>
      <c r="V556" s="1">
        <f t="shared" si="132"/>
        <v>1637244.0499999998</v>
      </c>
      <c r="W556" s="1">
        <v>3.6</v>
      </c>
    </row>
    <row r="557" spans="1:23" x14ac:dyDescent="0.25">
      <c r="A557" s="1" t="s">
        <v>344</v>
      </c>
      <c r="B557" s="1" t="s">
        <v>34</v>
      </c>
      <c r="C557" s="1" t="s">
        <v>408</v>
      </c>
      <c r="D557" s="1" t="s">
        <v>62</v>
      </c>
      <c r="E557" s="1" t="s">
        <v>43</v>
      </c>
      <c r="F557" s="1" t="s">
        <v>24</v>
      </c>
      <c r="G557" s="1" t="s">
        <v>143</v>
      </c>
      <c r="H557" s="1" t="s">
        <v>398</v>
      </c>
      <c r="I557" s="1" t="s">
        <v>19</v>
      </c>
      <c r="J557" s="1" t="s">
        <v>46</v>
      </c>
      <c r="K557" s="1">
        <v>112</v>
      </c>
      <c r="L557" s="1">
        <v>9843</v>
      </c>
      <c r="M557" s="2">
        <f t="shared" si="133"/>
        <v>1102416</v>
      </c>
      <c r="N557" s="1">
        <v>198434.88</v>
      </c>
      <c r="O557" s="1">
        <f t="shared" si="134"/>
        <v>1300850.8799999999</v>
      </c>
      <c r="P557" s="1">
        <v>8828</v>
      </c>
      <c r="Q557" s="1">
        <f t="shared" si="135"/>
        <v>1292022.8799999999</v>
      </c>
      <c r="R557" s="1">
        <v>194572</v>
      </c>
      <c r="S557" s="1">
        <f t="shared" si="136"/>
        <v>155657.60000000001</v>
      </c>
      <c r="T557" s="1">
        <f t="shared" si="137"/>
        <v>428058.4</v>
      </c>
      <c r="U557" s="1">
        <v>778288</v>
      </c>
      <c r="V557" s="1">
        <f t="shared" si="132"/>
        <v>513734.87999999989</v>
      </c>
      <c r="W557" s="1">
        <v>4.9000000000000004</v>
      </c>
    </row>
    <row r="558" spans="1:23" x14ac:dyDescent="0.25">
      <c r="A558" s="1" t="s">
        <v>230</v>
      </c>
      <c r="B558" s="1" t="s">
        <v>21</v>
      </c>
      <c r="C558" s="1" t="s">
        <v>408</v>
      </c>
      <c r="D558" s="1" t="s">
        <v>15</v>
      </c>
      <c r="E558" s="1" t="s">
        <v>16</v>
      </c>
      <c r="F558" s="1" t="s">
        <v>59</v>
      </c>
      <c r="G558" s="1" t="s">
        <v>103</v>
      </c>
      <c r="H558" s="1" t="s">
        <v>398</v>
      </c>
      <c r="I558" s="1" t="s">
        <v>19</v>
      </c>
      <c r="J558" s="1" t="s">
        <v>46</v>
      </c>
      <c r="K558" s="1">
        <v>135</v>
      </c>
      <c r="L558" s="1">
        <v>14698</v>
      </c>
      <c r="M558" s="2">
        <f t="shared" si="133"/>
        <v>1984230</v>
      </c>
      <c r="N558" s="1">
        <v>328588.49</v>
      </c>
      <c r="O558" s="1">
        <f t="shared" si="134"/>
        <v>2312818.4900000002</v>
      </c>
      <c r="P558" s="1">
        <v>5294</v>
      </c>
      <c r="Q558" s="1">
        <f t="shared" si="135"/>
        <v>2307524.4900000002</v>
      </c>
      <c r="R558" s="1">
        <f>0.7*U558</f>
        <v>1028915.9999999999</v>
      </c>
      <c r="S558" s="1">
        <f t="shared" si="136"/>
        <v>293976</v>
      </c>
      <c r="T558" s="1">
        <f t="shared" si="137"/>
        <v>146988.00000000012</v>
      </c>
      <c r="U558" s="1">
        <v>1469880</v>
      </c>
      <c r="V558" s="1">
        <f t="shared" si="132"/>
        <v>837644.49000000022</v>
      </c>
      <c r="W558" s="1">
        <v>4.0999999999999996</v>
      </c>
    </row>
    <row r="559" spans="1:23" x14ac:dyDescent="0.25">
      <c r="A559" s="1" t="s">
        <v>175</v>
      </c>
      <c r="B559" s="1" t="s">
        <v>37</v>
      </c>
      <c r="C559" s="1" t="s">
        <v>408</v>
      </c>
      <c r="D559" s="1" t="s">
        <v>52</v>
      </c>
      <c r="E559" s="1" t="s">
        <v>23</v>
      </c>
      <c r="F559" s="1" t="s">
        <v>24</v>
      </c>
      <c r="G559" s="1" t="s">
        <v>44</v>
      </c>
      <c r="H559" s="1" t="s">
        <v>399</v>
      </c>
      <c r="I559" s="1" t="s">
        <v>39</v>
      </c>
      <c r="J559" s="1" t="s">
        <v>26</v>
      </c>
      <c r="K559" s="1">
        <v>109</v>
      </c>
      <c r="L559" s="1">
        <v>4498</v>
      </c>
      <c r="M559" s="2">
        <f t="shared" si="133"/>
        <v>490282</v>
      </c>
      <c r="N559" s="1">
        <v>83838.22</v>
      </c>
      <c r="O559" s="1">
        <f t="shared" si="134"/>
        <v>574120.22</v>
      </c>
      <c r="P559" s="1">
        <v>5439</v>
      </c>
      <c r="Q559" s="1">
        <f t="shared" si="135"/>
        <v>568681.22</v>
      </c>
      <c r="R559" s="1">
        <v>162737</v>
      </c>
      <c r="S559" s="1">
        <f t="shared" si="136"/>
        <v>65094.8</v>
      </c>
      <c r="T559" s="1">
        <f t="shared" si="137"/>
        <v>97642.200000000012</v>
      </c>
      <c r="U559" s="1">
        <v>325474</v>
      </c>
      <c r="V559" s="1">
        <f t="shared" si="132"/>
        <v>243207.21999999997</v>
      </c>
      <c r="W559" s="1">
        <v>4.7</v>
      </c>
    </row>
    <row r="560" spans="1:23" x14ac:dyDescent="0.25">
      <c r="A560" s="1" t="s">
        <v>340</v>
      </c>
      <c r="B560" s="1" t="s">
        <v>58</v>
      </c>
      <c r="C560" s="1" t="s">
        <v>408</v>
      </c>
      <c r="D560" s="1" t="s">
        <v>52</v>
      </c>
      <c r="E560" s="1" t="s">
        <v>23</v>
      </c>
      <c r="F560" s="1" t="s">
        <v>24</v>
      </c>
      <c r="G560" s="1" t="s">
        <v>44</v>
      </c>
      <c r="H560" s="1" t="s">
        <v>399</v>
      </c>
      <c r="I560" s="1" t="s">
        <v>39</v>
      </c>
      <c r="J560" s="1" t="s">
        <v>26</v>
      </c>
      <c r="K560" s="1">
        <v>147</v>
      </c>
      <c r="L560" s="1">
        <v>3049</v>
      </c>
      <c r="M560" s="2">
        <f t="shared" si="133"/>
        <v>448203</v>
      </c>
      <c r="N560" s="1">
        <v>74222.42</v>
      </c>
      <c r="O560" s="1">
        <f t="shared" si="134"/>
        <v>522425.42</v>
      </c>
      <c r="P560" s="1">
        <v>9944</v>
      </c>
      <c r="Q560" s="1">
        <f t="shared" si="135"/>
        <v>512481.42</v>
      </c>
      <c r="R560" s="1">
        <v>71589</v>
      </c>
      <c r="S560" s="1">
        <f t="shared" si="136"/>
        <v>57271.200000000004</v>
      </c>
      <c r="T560" s="1">
        <f t="shared" si="137"/>
        <v>157495.79999999999</v>
      </c>
      <c r="U560" s="1">
        <v>286356</v>
      </c>
      <c r="V560" s="1">
        <f t="shared" si="132"/>
        <v>226125.41999999998</v>
      </c>
      <c r="W560" s="1">
        <v>4.9000000000000004</v>
      </c>
    </row>
    <row r="561" spans="1:23" x14ac:dyDescent="0.25">
      <c r="A561" s="1" t="s">
        <v>81</v>
      </c>
      <c r="B561" s="1" t="s">
        <v>58</v>
      </c>
      <c r="C561" s="1" t="s">
        <v>408</v>
      </c>
      <c r="D561" s="1" t="s">
        <v>55</v>
      </c>
      <c r="E561" s="1" t="s">
        <v>56</v>
      </c>
      <c r="F561" s="1" t="s">
        <v>59</v>
      </c>
      <c r="G561" s="1" t="s">
        <v>85</v>
      </c>
      <c r="H561" s="1" t="s">
        <v>399</v>
      </c>
      <c r="I561" s="1" t="s">
        <v>397</v>
      </c>
      <c r="J561" s="1" t="s">
        <v>26</v>
      </c>
      <c r="K561" s="1">
        <v>185</v>
      </c>
      <c r="L561" s="1">
        <v>32177</v>
      </c>
      <c r="M561" s="2">
        <f t="shared" si="133"/>
        <v>5952745</v>
      </c>
      <c r="N561" s="1">
        <v>1071494.1000000001</v>
      </c>
      <c r="O561" s="1">
        <f t="shared" si="134"/>
        <v>7024239.0999999996</v>
      </c>
      <c r="P561" s="1">
        <v>6825</v>
      </c>
      <c r="Q561" s="1">
        <f t="shared" si="135"/>
        <v>7017414.0999999996</v>
      </c>
      <c r="R561" s="1">
        <f>0.7*U561</f>
        <v>3203182.5</v>
      </c>
      <c r="S561" s="1">
        <f t="shared" si="136"/>
        <v>915195</v>
      </c>
      <c r="T561" s="1">
        <f t="shared" si="137"/>
        <v>457597.5</v>
      </c>
      <c r="U561" s="1">
        <v>4575975</v>
      </c>
      <c r="V561" s="1">
        <f t="shared" si="132"/>
        <v>2441439.0999999996</v>
      </c>
      <c r="W561" s="1">
        <v>4.5999999999999996</v>
      </c>
    </row>
    <row r="562" spans="1:23" x14ac:dyDescent="0.25">
      <c r="A562" s="1" t="s">
        <v>138</v>
      </c>
      <c r="B562" s="1" t="s">
        <v>34</v>
      </c>
      <c r="C562" s="1" t="s">
        <v>408</v>
      </c>
      <c r="D562" s="1" t="s">
        <v>15</v>
      </c>
      <c r="E562" s="1" t="s">
        <v>16</v>
      </c>
      <c r="F562" s="1" t="s">
        <v>29</v>
      </c>
      <c r="G562" s="1" t="s">
        <v>87</v>
      </c>
      <c r="H562" s="1" t="s">
        <v>399</v>
      </c>
      <c r="I562" s="1" t="s">
        <v>395</v>
      </c>
      <c r="J562" s="1" t="s">
        <v>26</v>
      </c>
      <c r="K562" s="1">
        <v>33</v>
      </c>
      <c r="L562" s="1">
        <v>13887</v>
      </c>
      <c r="M562" s="2">
        <f t="shared" si="133"/>
        <v>458271</v>
      </c>
      <c r="N562" s="1">
        <v>70115.460000000006</v>
      </c>
      <c r="O562" s="1">
        <f t="shared" si="134"/>
        <v>528386.46</v>
      </c>
      <c r="P562" s="1">
        <v>5556</v>
      </c>
      <c r="Q562" s="1">
        <f t="shared" si="135"/>
        <v>522830.45999999996</v>
      </c>
      <c r="R562" s="1">
        <v>182869.5</v>
      </c>
      <c r="S562" s="1">
        <f>U562*0.1</f>
        <v>36573.9</v>
      </c>
      <c r="T562" s="1">
        <f t="shared" si="137"/>
        <v>146295.59999999998</v>
      </c>
      <c r="U562" s="1">
        <v>365739</v>
      </c>
      <c r="V562" s="1">
        <f t="shared" si="132"/>
        <v>157091.45999999996</v>
      </c>
      <c r="W562" s="1">
        <v>3.8</v>
      </c>
    </row>
    <row r="563" spans="1:23" x14ac:dyDescent="0.25">
      <c r="A563" s="1" t="s">
        <v>204</v>
      </c>
      <c r="B563" s="1" t="s">
        <v>34</v>
      </c>
      <c r="C563" s="1" t="s">
        <v>408</v>
      </c>
      <c r="D563" s="1" t="s">
        <v>48</v>
      </c>
      <c r="E563" s="1" t="s">
        <v>49</v>
      </c>
      <c r="F563" s="1" t="s">
        <v>17</v>
      </c>
      <c r="G563" s="1" t="s">
        <v>72</v>
      </c>
      <c r="H563" s="1" t="s">
        <v>399</v>
      </c>
      <c r="I563" s="1" t="s">
        <v>39</v>
      </c>
      <c r="J563" s="1" t="s">
        <v>46</v>
      </c>
      <c r="K563" s="1">
        <v>160</v>
      </c>
      <c r="L563" s="1">
        <v>35284</v>
      </c>
      <c r="M563" s="2">
        <f t="shared" si="133"/>
        <v>5645440</v>
      </c>
      <c r="N563" s="1">
        <v>1016179.2</v>
      </c>
      <c r="O563" s="1">
        <f t="shared" si="134"/>
        <v>6661619.2000000002</v>
      </c>
      <c r="P563" s="1">
        <v>7227</v>
      </c>
      <c r="Q563" s="1">
        <f t="shared" si="135"/>
        <v>6654392.2000000002</v>
      </c>
      <c r="R563" s="1">
        <f t="shared" ref="R563:R564" si="143">0.62*U563</f>
        <v>2358281.6</v>
      </c>
      <c r="S563" s="1">
        <f t="shared" ref="S563:S564" si="144">U563*0.2</f>
        <v>760736</v>
      </c>
      <c r="T563" s="1">
        <f t="shared" si="137"/>
        <v>684662.39999999991</v>
      </c>
      <c r="U563" s="1">
        <v>3803680</v>
      </c>
      <c r="V563" s="1">
        <f t="shared" si="132"/>
        <v>2850712.2</v>
      </c>
      <c r="W563" s="1">
        <v>4.5</v>
      </c>
    </row>
    <row r="564" spans="1:23" x14ac:dyDescent="0.25">
      <c r="A564" s="1" t="s">
        <v>346</v>
      </c>
      <c r="B564" s="1" t="s">
        <v>37</v>
      </c>
      <c r="C564" s="1" t="s">
        <v>408</v>
      </c>
      <c r="D564" s="1" t="s">
        <v>52</v>
      </c>
      <c r="E564" s="1" t="s">
        <v>23</v>
      </c>
      <c r="F564" s="1" t="s">
        <v>17</v>
      </c>
      <c r="G564" s="1" t="s">
        <v>38</v>
      </c>
      <c r="H564" s="1" t="s">
        <v>399</v>
      </c>
      <c r="I564" s="1" t="s">
        <v>395</v>
      </c>
      <c r="J564" s="1" t="s">
        <v>26</v>
      </c>
      <c r="K564" s="1">
        <v>58</v>
      </c>
      <c r="L564" s="1">
        <v>25761</v>
      </c>
      <c r="M564" s="2">
        <f t="shared" si="133"/>
        <v>1494138</v>
      </c>
      <c r="N564" s="1">
        <v>255497.60000000001</v>
      </c>
      <c r="O564" s="1">
        <f t="shared" si="134"/>
        <v>1749635.6</v>
      </c>
      <c r="P564" s="1">
        <v>7096</v>
      </c>
      <c r="Q564" s="1">
        <f t="shared" si="135"/>
        <v>1742539.6</v>
      </c>
      <c r="R564" s="1">
        <f t="shared" si="143"/>
        <v>702766.28</v>
      </c>
      <c r="S564" s="1">
        <f t="shared" si="144"/>
        <v>226698.80000000002</v>
      </c>
      <c r="T564" s="1">
        <f t="shared" si="137"/>
        <v>204028.91999999993</v>
      </c>
      <c r="U564" s="1">
        <v>1133494</v>
      </c>
      <c r="V564" s="1">
        <f t="shared" si="132"/>
        <v>609045.60000000009</v>
      </c>
      <c r="W564" s="1">
        <v>3.6</v>
      </c>
    </row>
    <row r="565" spans="1:23" x14ac:dyDescent="0.25">
      <c r="A565" s="1" t="s">
        <v>136</v>
      </c>
      <c r="B565" s="1" t="s">
        <v>69</v>
      </c>
      <c r="C565" s="1" t="s">
        <v>408</v>
      </c>
      <c r="D565" s="1" t="s">
        <v>55</v>
      </c>
      <c r="E565" s="1" t="s">
        <v>56</v>
      </c>
      <c r="F565" s="1" t="s">
        <v>59</v>
      </c>
      <c r="G565" s="1" t="s">
        <v>67</v>
      </c>
      <c r="H565" s="1" t="s">
        <v>398</v>
      </c>
      <c r="I565" s="1" t="s">
        <v>395</v>
      </c>
      <c r="J565" s="1" t="s">
        <v>46</v>
      </c>
      <c r="K565" s="1">
        <v>26</v>
      </c>
      <c r="L565" s="1">
        <v>32818</v>
      </c>
      <c r="M565" s="2">
        <f t="shared" si="133"/>
        <v>853268</v>
      </c>
      <c r="N565" s="1">
        <v>141301.18</v>
      </c>
      <c r="O565" s="1">
        <f t="shared" si="134"/>
        <v>994569.17999999993</v>
      </c>
      <c r="P565" s="1">
        <v>8219</v>
      </c>
      <c r="Q565" s="1">
        <f t="shared" si="135"/>
        <v>986350.17999999993</v>
      </c>
      <c r="R565" s="1">
        <f>0.7*U565</f>
        <v>375557</v>
      </c>
      <c r="S565" s="1">
        <f t="shared" si="136"/>
        <v>107302</v>
      </c>
      <c r="T565" s="1">
        <f t="shared" si="137"/>
        <v>53651</v>
      </c>
      <c r="U565" s="1">
        <v>536510</v>
      </c>
      <c r="V565" s="1">
        <f t="shared" si="132"/>
        <v>449840.17999999993</v>
      </c>
      <c r="W565" s="1">
        <v>3.9</v>
      </c>
    </row>
    <row r="566" spans="1:23" x14ac:dyDescent="0.25">
      <c r="A566" s="1" t="s">
        <v>178</v>
      </c>
      <c r="B566" s="1" t="s">
        <v>14</v>
      </c>
      <c r="C566" s="1" t="s">
        <v>408</v>
      </c>
      <c r="D566" s="1" t="s">
        <v>48</v>
      </c>
      <c r="E566" s="1" t="s">
        <v>49</v>
      </c>
      <c r="F566" s="1" t="s">
        <v>17</v>
      </c>
      <c r="G566" s="1" t="s">
        <v>72</v>
      </c>
      <c r="H566" s="1" t="s">
        <v>398</v>
      </c>
      <c r="I566" s="1" t="s">
        <v>397</v>
      </c>
      <c r="J566" s="1" t="s">
        <v>26</v>
      </c>
      <c r="K566" s="1">
        <v>151</v>
      </c>
      <c r="L566" s="1">
        <v>6440</v>
      </c>
      <c r="M566" s="2">
        <f t="shared" si="133"/>
        <v>972440</v>
      </c>
      <c r="N566" s="1">
        <v>166287.24</v>
      </c>
      <c r="O566" s="1">
        <f t="shared" si="134"/>
        <v>1138727.24</v>
      </c>
      <c r="P566" s="1">
        <v>9678</v>
      </c>
      <c r="Q566" s="1">
        <f t="shared" si="135"/>
        <v>1129049.24</v>
      </c>
      <c r="R566" s="1">
        <f>0.62*U566</f>
        <v>438796.94</v>
      </c>
      <c r="S566" s="1">
        <f>U566*0.2</f>
        <v>141547.4</v>
      </c>
      <c r="T566" s="1">
        <f t="shared" si="137"/>
        <v>127392.65999999997</v>
      </c>
      <c r="U566" s="1">
        <v>707737</v>
      </c>
      <c r="V566" s="1">
        <f t="shared" si="132"/>
        <v>421312.24</v>
      </c>
      <c r="W566" s="1">
        <v>4.7</v>
      </c>
    </row>
    <row r="567" spans="1:23" x14ac:dyDescent="0.25">
      <c r="A567" s="1" t="s">
        <v>241</v>
      </c>
      <c r="B567" s="1" t="s">
        <v>14</v>
      </c>
      <c r="C567" s="1" t="s">
        <v>408</v>
      </c>
      <c r="D567" s="1" t="s">
        <v>42</v>
      </c>
      <c r="E567" s="1" t="s">
        <v>43</v>
      </c>
      <c r="F567" s="1" t="s">
        <v>29</v>
      </c>
      <c r="G567" s="1" t="s">
        <v>91</v>
      </c>
      <c r="H567" s="1" t="s">
        <v>398</v>
      </c>
      <c r="I567" s="1" t="s">
        <v>39</v>
      </c>
      <c r="J567" s="1" t="s">
        <v>26</v>
      </c>
      <c r="K567" s="1">
        <v>102</v>
      </c>
      <c r="L567" s="1">
        <v>27376</v>
      </c>
      <c r="M567" s="2">
        <f t="shared" si="133"/>
        <v>2792352</v>
      </c>
      <c r="N567" s="1">
        <v>477492.19</v>
      </c>
      <c r="O567" s="1">
        <f t="shared" si="134"/>
        <v>3269844.19</v>
      </c>
      <c r="P567" s="1">
        <v>9210</v>
      </c>
      <c r="Q567" s="1">
        <f t="shared" si="135"/>
        <v>3260634.19</v>
      </c>
      <c r="R567" s="1">
        <v>1706103</v>
      </c>
      <c r="S567" s="1">
        <f>U567*0.1</f>
        <v>227480.40000000002</v>
      </c>
      <c r="T567" s="1">
        <f t="shared" si="137"/>
        <v>341220.60000000009</v>
      </c>
      <c r="U567" s="1">
        <v>2274804</v>
      </c>
      <c r="V567" s="1">
        <f t="shared" si="132"/>
        <v>985830.19</v>
      </c>
      <c r="W567" s="1">
        <v>4.2</v>
      </c>
    </row>
    <row r="568" spans="1:23" x14ac:dyDescent="0.25">
      <c r="A568" s="1" t="s">
        <v>154</v>
      </c>
      <c r="B568" s="1" t="s">
        <v>34</v>
      </c>
      <c r="C568" s="1" t="s">
        <v>408</v>
      </c>
      <c r="D568" s="1" t="s">
        <v>55</v>
      </c>
      <c r="E568" s="1" t="s">
        <v>56</v>
      </c>
      <c r="F568" s="1" t="s">
        <v>59</v>
      </c>
      <c r="G568" s="1" t="s">
        <v>67</v>
      </c>
      <c r="H568" s="1" t="s">
        <v>399</v>
      </c>
      <c r="I568" s="1" t="s">
        <v>396</v>
      </c>
      <c r="J568" s="1" t="s">
        <v>46</v>
      </c>
      <c r="K568" s="1">
        <v>150</v>
      </c>
      <c r="L568" s="1">
        <v>4432</v>
      </c>
      <c r="M568" s="2">
        <f t="shared" si="133"/>
        <v>664800</v>
      </c>
      <c r="N568" s="1">
        <v>101714.4</v>
      </c>
      <c r="O568" s="1">
        <f t="shared" si="134"/>
        <v>766514.4</v>
      </c>
      <c r="P568" s="1">
        <v>6426</v>
      </c>
      <c r="Q568" s="1">
        <f t="shared" si="135"/>
        <v>760088.4</v>
      </c>
      <c r="R568" s="1">
        <f>0.7*U568</f>
        <v>293475</v>
      </c>
      <c r="S568" s="1">
        <f t="shared" si="136"/>
        <v>83850</v>
      </c>
      <c r="T568" s="1">
        <f t="shared" si="137"/>
        <v>41925</v>
      </c>
      <c r="U568" s="1">
        <v>419250</v>
      </c>
      <c r="V568" s="1">
        <f t="shared" si="132"/>
        <v>340838.40000000002</v>
      </c>
      <c r="W568" s="1">
        <v>4.0999999999999996</v>
      </c>
    </row>
    <row r="569" spans="1:23" x14ac:dyDescent="0.25">
      <c r="A569" s="1" t="s">
        <v>341</v>
      </c>
      <c r="B569" s="1" t="s">
        <v>32</v>
      </c>
      <c r="C569" s="1" t="s">
        <v>408</v>
      </c>
      <c r="D569" s="1" t="s">
        <v>78</v>
      </c>
      <c r="E569" s="1" t="s">
        <v>49</v>
      </c>
      <c r="F569" s="1" t="s">
        <v>24</v>
      </c>
      <c r="G569" s="1" t="s">
        <v>119</v>
      </c>
      <c r="H569" s="1" t="s">
        <v>398</v>
      </c>
      <c r="I569" s="1" t="s">
        <v>19</v>
      </c>
      <c r="J569" s="1" t="s">
        <v>46</v>
      </c>
      <c r="K569" s="1">
        <v>139</v>
      </c>
      <c r="L569" s="1">
        <v>10843</v>
      </c>
      <c r="M569" s="2">
        <f t="shared" si="133"/>
        <v>1507177</v>
      </c>
      <c r="N569" s="1">
        <v>238736.84</v>
      </c>
      <c r="O569" s="1">
        <f t="shared" si="134"/>
        <v>1745913.84</v>
      </c>
      <c r="P569" s="1">
        <v>6413</v>
      </c>
      <c r="Q569" s="1">
        <f t="shared" si="135"/>
        <v>1739500.84</v>
      </c>
      <c r="R569" s="1">
        <v>536887.5</v>
      </c>
      <c r="S569" s="1">
        <f t="shared" si="136"/>
        <v>214755</v>
      </c>
      <c r="T569" s="1">
        <f t="shared" si="137"/>
        <v>322132.5</v>
      </c>
      <c r="U569" s="1">
        <v>1073775</v>
      </c>
      <c r="V569" s="1">
        <f t="shared" si="132"/>
        <v>665725.84000000008</v>
      </c>
      <c r="W569" s="1">
        <v>3.5</v>
      </c>
    </row>
    <row r="570" spans="1:23" x14ac:dyDescent="0.25">
      <c r="A570" s="1" t="s">
        <v>347</v>
      </c>
      <c r="B570" s="1" t="s">
        <v>51</v>
      </c>
      <c r="C570" s="1" t="s">
        <v>408</v>
      </c>
      <c r="D570" s="1" t="s">
        <v>55</v>
      </c>
      <c r="E570" s="1" t="s">
        <v>56</v>
      </c>
      <c r="F570" s="1" t="s">
        <v>29</v>
      </c>
      <c r="G570" s="1" t="s">
        <v>53</v>
      </c>
      <c r="H570" s="1" t="s">
        <v>398</v>
      </c>
      <c r="I570" s="1" t="s">
        <v>19</v>
      </c>
      <c r="J570" s="1" t="s">
        <v>46</v>
      </c>
      <c r="K570" s="1">
        <v>58</v>
      </c>
      <c r="L570" s="1">
        <v>16269</v>
      </c>
      <c r="M570" s="2">
        <f t="shared" si="133"/>
        <v>943602</v>
      </c>
      <c r="N570" s="1">
        <v>156260.49</v>
      </c>
      <c r="O570" s="1">
        <f t="shared" si="134"/>
        <v>1099862.49</v>
      </c>
      <c r="P570" s="1">
        <v>8566</v>
      </c>
      <c r="Q570" s="1">
        <f t="shared" si="135"/>
        <v>1091296.49</v>
      </c>
      <c r="R570" s="1">
        <v>166315</v>
      </c>
      <c r="S570" s="1">
        <f>U570*0.1</f>
        <v>66526</v>
      </c>
      <c r="T570" s="1">
        <f t="shared" si="137"/>
        <v>432419</v>
      </c>
      <c r="U570" s="1">
        <v>665260</v>
      </c>
      <c r="V570" s="1">
        <f t="shared" si="132"/>
        <v>426036.49</v>
      </c>
      <c r="W570" s="1">
        <v>4.4000000000000004</v>
      </c>
    </row>
    <row r="571" spans="1:23" x14ac:dyDescent="0.25">
      <c r="A571" s="1" t="s">
        <v>31</v>
      </c>
      <c r="B571" s="1" t="s">
        <v>14</v>
      </c>
      <c r="C571" s="1" t="s">
        <v>408</v>
      </c>
      <c r="D571" s="1" t="s">
        <v>55</v>
      </c>
      <c r="E571" s="1" t="s">
        <v>56</v>
      </c>
      <c r="F571" s="1" t="s">
        <v>59</v>
      </c>
      <c r="G571" s="1" t="s">
        <v>121</v>
      </c>
      <c r="H571" s="1" t="s">
        <v>398</v>
      </c>
      <c r="I571" s="1" t="s">
        <v>395</v>
      </c>
      <c r="J571" s="1" t="s">
        <v>46</v>
      </c>
      <c r="K571" s="1">
        <v>122</v>
      </c>
      <c r="L571" s="1">
        <v>6523</v>
      </c>
      <c r="M571" s="2">
        <f t="shared" si="133"/>
        <v>795806</v>
      </c>
      <c r="N571" s="1">
        <v>131785.47</v>
      </c>
      <c r="O571" s="1">
        <f t="shared" si="134"/>
        <v>927591.47</v>
      </c>
      <c r="P571" s="1">
        <v>6626</v>
      </c>
      <c r="Q571" s="1">
        <f t="shared" si="135"/>
        <v>920965.47</v>
      </c>
      <c r="R571" s="1">
        <f t="shared" ref="R571:R572" si="145">0.7*U571</f>
        <v>350310.8</v>
      </c>
      <c r="S571" s="1">
        <f t="shared" si="136"/>
        <v>100088.8</v>
      </c>
      <c r="T571" s="1">
        <f t="shared" si="137"/>
        <v>50044.400000000023</v>
      </c>
      <c r="U571" s="1">
        <v>500444</v>
      </c>
      <c r="V571" s="1">
        <f t="shared" si="132"/>
        <v>420521.47</v>
      </c>
      <c r="W571" s="1">
        <v>4.3</v>
      </c>
    </row>
    <row r="572" spans="1:23" x14ac:dyDescent="0.25">
      <c r="A572" s="1" t="s">
        <v>348</v>
      </c>
      <c r="B572" s="1" t="s">
        <v>21</v>
      </c>
      <c r="C572" s="1" t="s">
        <v>408</v>
      </c>
      <c r="D572" s="1" t="s">
        <v>48</v>
      </c>
      <c r="E572" s="1" t="s">
        <v>49</v>
      </c>
      <c r="F572" s="1" t="s">
        <v>59</v>
      </c>
      <c r="G572" s="1" t="s">
        <v>60</v>
      </c>
      <c r="H572" s="1" t="s">
        <v>399</v>
      </c>
      <c r="I572" s="1" t="s">
        <v>396</v>
      </c>
      <c r="J572" s="1" t="s">
        <v>46</v>
      </c>
      <c r="K572" s="1">
        <v>84</v>
      </c>
      <c r="L572" s="1">
        <v>21181</v>
      </c>
      <c r="M572" s="2">
        <f t="shared" si="133"/>
        <v>1779204</v>
      </c>
      <c r="N572" s="1">
        <v>294636.18</v>
      </c>
      <c r="O572" s="1">
        <f t="shared" si="134"/>
        <v>2073840.18</v>
      </c>
      <c r="P572" s="1">
        <v>9744</v>
      </c>
      <c r="Q572" s="1">
        <f t="shared" si="135"/>
        <v>2064096.18</v>
      </c>
      <c r="R572" s="1">
        <f t="shared" si="145"/>
        <v>1015711.2</v>
      </c>
      <c r="S572" s="1">
        <f t="shared" si="136"/>
        <v>290203.2</v>
      </c>
      <c r="T572" s="1">
        <f t="shared" si="137"/>
        <v>145101.60000000009</v>
      </c>
      <c r="U572" s="1">
        <v>1451016</v>
      </c>
      <c r="V572" s="1">
        <f t="shared" si="132"/>
        <v>613080.17999999993</v>
      </c>
      <c r="W572" s="1">
        <v>4.2</v>
      </c>
    </row>
    <row r="573" spans="1:23" x14ac:dyDescent="0.25">
      <c r="A573" s="1" t="s">
        <v>349</v>
      </c>
      <c r="B573" s="1" t="s">
        <v>41</v>
      </c>
      <c r="C573" s="1" t="s">
        <v>408</v>
      </c>
      <c r="D573" s="1" t="s">
        <v>62</v>
      </c>
      <c r="E573" s="1" t="s">
        <v>43</v>
      </c>
      <c r="F573" s="1" t="s">
        <v>17</v>
      </c>
      <c r="G573" s="1" t="s">
        <v>72</v>
      </c>
      <c r="H573" s="1" t="s">
        <v>399</v>
      </c>
      <c r="I573" s="1" t="s">
        <v>397</v>
      </c>
      <c r="J573" s="1" t="s">
        <v>26</v>
      </c>
      <c r="K573" s="1">
        <v>187</v>
      </c>
      <c r="L573" s="1">
        <v>25373</v>
      </c>
      <c r="M573" s="2">
        <f t="shared" si="133"/>
        <v>4744751</v>
      </c>
      <c r="N573" s="1">
        <v>751568.56</v>
      </c>
      <c r="O573" s="1">
        <f t="shared" si="134"/>
        <v>5496319.5600000005</v>
      </c>
      <c r="P573" s="1">
        <v>6163</v>
      </c>
      <c r="Q573" s="1">
        <f t="shared" si="135"/>
        <v>5490156.5600000005</v>
      </c>
      <c r="R573" s="1">
        <f t="shared" ref="R573:R574" si="146">0.62*U573</f>
        <v>2037761.44</v>
      </c>
      <c r="S573" s="1">
        <f t="shared" si="136"/>
        <v>657342.4</v>
      </c>
      <c r="T573" s="1">
        <f t="shared" si="137"/>
        <v>591608.16000000015</v>
      </c>
      <c r="U573" s="1">
        <v>3286712</v>
      </c>
      <c r="V573" s="1">
        <f t="shared" si="132"/>
        <v>2203444.5600000005</v>
      </c>
      <c r="W573" s="1">
        <v>4</v>
      </c>
    </row>
    <row r="574" spans="1:23" x14ac:dyDescent="0.25">
      <c r="A574" s="1" t="s">
        <v>152</v>
      </c>
      <c r="B574" s="1" t="s">
        <v>32</v>
      </c>
      <c r="C574" s="1" t="s">
        <v>408</v>
      </c>
      <c r="D574" s="1" t="s">
        <v>62</v>
      </c>
      <c r="E574" s="1" t="s">
        <v>43</v>
      </c>
      <c r="F574" s="1" t="s">
        <v>17</v>
      </c>
      <c r="G574" s="1" t="s">
        <v>72</v>
      </c>
      <c r="H574" s="1" t="s">
        <v>399</v>
      </c>
      <c r="I574" s="1" t="s">
        <v>396</v>
      </c>
      <c r="J574" s="1" t="s">
        <v>46</v>
      </c>
      <c r="K574" s="1">
        <v>197</v>
      </c>
      <c r="L574" s="1">
        <v>12558</v>
      </c>
      <c r="M574" s="2">
        <f t="shared" si="133"/>
        <v>2473926</v>
      </c>
      <c r="N574" s="1">
        <v>378510.68</v>
      </c>
      <c r="O574" s="1">
        <f t="shared" si="134"/>
        <v>2852436.68</v>
      </c>
      <c r="P574" s="1">
        <v>6269</v>
      </c>
      <c r="Q574" s="1">
        <f t="shared" si="135"/>
        <v>2846167.68</v>
      </c>
      <c r="R574" s="1">
        <f t="shared" si="146"/>
        <v>1153978.72</v>
      </c>
      <c r="S574" s="1">
        <f t="shared" si="136"/>
        <v>372251.2</v>
      </c>
      <c r="T574" s="1">
        <f t="shared" si="137"/>
        <v>335026.08000000007</v>
      </c>
      <c r="U574" s="1">
        <v>1861256</v>
      </c>
      <c r="V574" s="1">
        <f t="shared" si="132"/>
        <v>984911.68000000017</v>
      </c>
      <c r="W574" s="1">
        <v>4.0999999999999996</v>
      </c>
    </row>
    <row r="575" spans="1:23" x14ac:dyDescent="0.25">
      <c r="A575" s="1" t="s">
        <v>350</v>
      </c>
      <c r="B575" s="1" t="s">
        <v>37</v>
      </c>
      <c r="C575" s="1" t="s">
        <v>408</v>
      </c>
      <c r="D575" s="1" t="s">
        <v>15</v>
      </c>
      <c r="E575" s="1" t="s">
        <v>16</v>
      </c>
      <c r="F575" s="1" t="s">
        <v>29</v>
      </c>
      <c r="G575" s="1" t="s">
        <v>87</v>
      </c>
      <c r="H575" s="1" t="s">
        <v>399</v>
      </c>
      <c r="I575" s="1" t="s">
        <v>395</v>
      </c>
      <c r="J575" s="1" t="s">
        <v>26</v>
      </c>
      <c r="K575" s="1">
        <v>35</v>
      </c>
      <c r="L575" s="1">
        <v>11535</v>
      </c>
      <c r="M575" s="2">
        <f t="shared" si="133"/>
        <v>403725</v>
      </c>
      <c r="N575" s="1">
        <v>66856.86</v>
      </c>
      <c r="O575" s="1">
        <f t="shared" si="134"/>
        <v>470581.86</v>
      </c>
      <c r="P575" s="1">
        <v>5138</v>
      </c>
      <c r="Q575" s="1">
        <f t="shared" si="135"/>
        <v>465443.86</v>
      </c>
      <c r="R575" s="1">
        <v>148015</v>
      </c>
      <c r="S575" s="1">
        <f>U575*0.1</f>
        <v>29603</v>
      </c>
      <c r="T575" s="1">
        <f t="shared" si="137"/>
        <v>118412</v>
      </c>
      <c r="U575" s="1">
        <v>296030</v>
      </c>
      <c r="V575" s="1">
        <f t="shared" si="132"/>
        <v>169413.86</v>
      </c>
      <c r="W575" s="1">
        <v>4.4000000000000004</v>
      </c>
    </row>
    <row r="576" spans="1:23" x14ac:dyDescent="0.25">
      <c r="A576" s="1" t="s">
        <v>150</v>
      </c>
      <c r="B576" s="1" t="s">
        <v>51</v>
      </c>
      <c r="C576" s="1" t="s">
        <v>408</v>
      </c>
      <c r="D576" s="1" t="s">
        <v>52</v>
      </c>
      <c r="E576" s="1" t="s">
        <v>23</v>
      </c>
      <c r="F576" s="1" t="s">
        <v>24</v>
      </c>
      <c r="G576" s="1" t="s">
        <v>44</v>
      </c>
      <c r="H576" s="1" t="s">
        <v>398</v>
      </c>
      <c r="I576" s="1" t="s">
        <v>395</v>
      </c>
      <c r="J576" s="1" t="s">
        <v>46</v>
      </c>
      <c r="K576" s="1">
        <v>88</v>
      </c>
      <c r="L576" s="1">
        <v>16256</v>
      </c>
      <c r="M576" s="2">
        <f t="shared" si="133"/>
        <v>1430528</v>
      </c>
      <c r="N576" s="1">
        <v>218870.78</v>
      </c>
      <c r="O576" s="1">
        <f t="shared" si="134"/>
        <v>1649398.78</v>
      </c>
      <c r="P576" s="1">
        <v>7504</v>
      </c>
      <c r="Q576" s="1">
        <f t="shared" si="135"/>
        <v>1641894.78</v>
      </c>
      <c r="R576" s="1">
        <v>764610</v>
      </c>
      <c r="S576" s="1">
        <f t="shared" si="136"/>
        <v>203896</v>
      </c>
      <c r="T576" s="1">
        <f t="shared" si="137"/>
        <v>50974</v>
      </c>
      <c r="U576" s="1">
        <v>1019480</v>
      </c>
      <c r="V576" s="1">
        <f t="shared" si="132"/>
        <v>622414.78</v>
      </c>
      <c r="W576" s="1">
        <v>3.6</v>
      </c>
    </row>
    <row r="577" spans="1:23" x14ac:dyDescent="0.25">
      <c r="A577" s="1" t="s">
        <v>216</v>
      </c>
      <c r="B577" s="1" t="s">
        <v>69</v>
      </c>
      <c r="C577" s="1" t="s">
        <v>408</v>
      </c>
      <c r="D577" s="1" t="s">
        <v>62</v>
      </c>
      <c r="E577" s="1" t="s">
        <v>43</v>
      </c>
      <c r="F577" s="1" t="s">
        <v>17</v>
      </c>
      <c r="G577" s="1" t="s">
        <v>38</v>
      </c>
      <c r="H577" s="1" t="s">
        <v>399</v>
      </c>
      <c r="I577" s="1" t="s">
        <v>39</v>
      </c>
      <c r="J577" s="1" t="s">
        <v>46</v>
      </c>
      <c r="K577" s="1">
        <v>193</v>
      </c>
      <c r="L577" s="1">
        <v>18126</v>
      </c>
      <c r="M577" s="2">
        <f t="shared" si="133"/>
        <v>3498318</v>
      </c>
      <c r="N577" s="1">
        <v>535242.65</v>
      </c>
      <c r="O577" s="1">
        <f t="shared" si="134"/>
        <v>4033560.65</v>
      </c>
      <c r="P577" s="1">
        <v>7261</v>
      </c>
      <c r="Q577" s="1">
        <f t="shared" si="135"/>
        <v>4026299.65</v>
      </c>
      <c r="R577" s="1">
        <f>0.62*U577</f>
        <v>1764267.04</v>
      </c>
      <c r="S577" s="1">
        <f>U577*0.2</f>
        <v>569118.4</v>
      </c>
      <c r="T577" s="1">
        <f t="shared" si="137"/>
        <v>512206.56000000006</v>
      </c>
      <c r="U577" s="1">
        <v>2845592</v>
      </c>
      <c r="V577" s="1">
        <f t="shared" si="132"/>
        <v>1180707.6499999999</v>
      </c>
      <c r="W577" s="1">
        <v>3.6</v>
      </c>
    </row>
    <row r="578" spans="1:23" x14ac:dyDescent="0.25">
      <c r="A578" s="1" t="s">
        <v>342</v>
      </c>
      <c r="B578" s="1" t="s">
        <v>77</v>
      </c>
      <c r="C578" s="1" t="s">
        <v>408</v>
      </c>
      <c r="D578" s="1" t="s">
        <v>55</v>
      </c>
      <c r="E578" s="1" t="s">
        <v>56</v>
      </c>
      <c r="F578" s="1" t="s">
        <v>59</v>
      </c>
      <c r="G578" s="1" t="s">
        <v>85</v>
      </c>
      <c r="H578" s="1" t="s">
        <v>398</v>
      </c>
      <c r="I578" s="1" t="s">
        <v>397</v>
      </c>
      <c r="J578" s="1" t="s">
        <v>26</v>
      </c>
      <c r="K578" s="1">
        <v>22</v>
      </c>
      <c r="L578" s="1">
        <v>25863</v>
      </c>
      <c r="M578" s="2">
        <f t="shared" si="133"/>
        <v>568986</v>
      </c>
      <c r="N578" s="1">
        <v>87054.86</v>
      </c>
      <c r="O578" s="1">
        <f t="shared" si="134"/>
        <v>656040.86</v>
      </c>
      <c r="P578" s="1">
        <v>7319</v>
      </c>
      <c r="Q578" s="1">
        <f t="shared" si="135"/>
        <v>648721.86</v>
      </c>
      <c r="R578" s="1">
        <f>0.7*U578</f>
        <v>320443.19999999995</v>
      </c>
      <c r="S578" s="1">
        <f t="shared" si="136"/>
        <v>91555.200000000012</v>
      </c>
      <c r="T578" s="1">
        <f t="shared" si="137"/>
        <v>45777.600000000035</v>
      </c>
      <c r="U578" s="1">
        <v>457776</v>
      </c>
      <c r="V578" s="1">
        <f t="shared" si="132"/>
        <v>190945.86</v>
      </c>
      <c r="W578" s="1">
        <v>4</v>
      </c>
    </row>
    <row r="579" spans="1:23" x14ac:dyDescent="0.25">
      <c r="A579" s="1" t="s">
        <v>282</v>
      </c>
      <c r="B579" s="1" t="s">
        <v>14</v>
      </c>
      <c r="C579" s="1" t="s">
        <v>408</v>
      </c>
      <c r="D579" s="1" t="s">
        <v>48</v>
      </c>
      <c r="E579" s="1" t="s">
        <v>49</v>
      </c>
      <c r="F579" s="1" t="s">
        <v>24</v>
      </c>
      <c r="G579" s="1" t="s">
        <v>63</v>
      </c>
      <c r="H579" s="1" t="s">
        <v>399</v>
      </c>
      <c r="I579" s="1" t="s">
        <v>397</v>
      </c>
      <c r="J579" s="1" t="s">
        <v>46</v>
      </c>
      <c r="K579" s="1">
        <v>17</v>
      </c>
      <c r="L579" s="1">
        <v>25716</v>
      </c>
      <c r="M579" s="2">
        <f t="shared" si="133"/>
        <v>437172</v>
      </c>
      <c r="N579" s="1">
        <v>69248.039999999994</v>
      </c>
      <c r="O579" s="1">
        <f t="shared" si="134"/>
        <v>506420.04</v>
      </c>
      <c r="P579" s="1">
        <v>8393</v>
      </c>
      <c r="Q579" s="1">
        <f t="shared" si="135"/>
        <v>498027.04</v>
      </c>
      <c r="R579" s="1">
        <v>258952.5</v>
      </c>
      <c r="S579" s="1">
        <f t="shared" si="136"/>
        <v>69054</v>
      </c>
      <c r="T579" s="1">
        <f t="shared" si="137"/>
        <v>17263.5</v>
      </c>
      <c r="U579" s="1">
        <v>345270</v>
      </c>
      <c r="V579" s="1">
        <f t="shared" si="132"/>
        <v>152757.03999999998</v>
      </c>
      <c r="W579" s="1">
        <v>4</v>
      </c>
    </row>
    <row r="580" spans="1:23" x14ac:dyDescent="0.25">
      <c r="A580" s="1" t="s">
        <v>157</v>
      </c>
      <c r="B580" s="1" t="s">
        <v>69</v>
      </c>
      <c r="C580" s="1" t="s">
        <v>408</v>
      </c>
      <c r="D580" s="1" t="s">
        <v>55</v>
      </c>
      <c r="E580" s="1" t="s">
        <v>56</v>
      </c>
      <c r="F580" s="1" t="s">
        <v>24</v>
      </c>
      <c r="G580" s="1" t="s">
        <v>143</v>
      </c>
      <c r="H580" s="1" t="s">
        <v>399</v>
      </c>
      <c r="I580" s="1" t="s">
        <v>19</v>
      </c>
      <c r="J580" s="1" t="s">
        <v>26</v>
      </c>
      <c r="K580" s="1">
        <v>178</v>
      </c>
      <c r="L580" s="1">
        <v>31615</v>
      </c>
      <c r="M580" s="2">
        <f t="shared" si="133"/>
        <v>5627470</v>
      </c>
      <c r="N580" s="1">
        <v>891391.25</v>
      </c>
      <c r="O580" s="1">
        <f t="shared" si="134"/>
        <v>6518861.25</v>
      </c>
      <c r="P580" s="1">
        <v>9104</v>
      </c>
      <c r="Q580" s="1">
        <f t="shared" si="135"/>
        <v>6509757.25</v>
      </c>
      <c r="R580" s="1">
        <v>1919196</v>
      </c>
      <c r="S580" s="1">
        <f t="shared" si="136"/>
        <v>767678.4</v>
      </c>
      <c r="T580" s="1">
        <f t="shared" si="137"/>
        <v>1151517.6000000001</v>
      </c>
      <c r="U580" s="1">
        <v>3838392</v>
      </c>
      <c r="V580" s="1">
        <f t="shared" ref="V580:V643" si="147">Q580-U580</f>
        <v>2671365.25</v>
      </c>
      <c r="W580" s="1">
        <v>4.3</v>
      </c>
    </row>
    <row r="581" spans="1:23" x14ac:dyDescent="0.25">
      <c r="A581" s="1" t="s">
        <v>125</v>
      </c>
      <c r="B581" s="1" t="s">
        <v>32</v>
      </c>
      <c r="C581" s="1" t="s">
        <v>408</v>
      </c>
      <c r="D581" s="1" t="s">
        <v>78</v>
      </c>
      <c r="E581" s="1" t="s">
        <v>49</v>
      </c>
      <c r="F581" s="1" t="s">
        <v>24</v>
      </c>
      <c r="G581" s="1" t="s">
        <v>63</v>
      </c>
      <c r="H581" s="1" t="s">
        <v>399</v>
      </c>
      <c r="I581" s="1" t="s">
        <v>39</v>
      </c>
      <c r="J581" s="1" t="s">
        <v>46</v>
      </c>
      <c r="K581" s="1">
        <v>72</v>
      </c>
      <c r="L581" s="1">
        <v>12616</v>
      </c>
      <c r="M581" s="2">
        <f t="shared" ref="M581:M644" si="148">K581*L581</f>
        <v>908352</v>
      </c>
      <c r="N581" s="1">
        <v>163503.35999999999</v>
      </c>
      <c r="O581" s="1">
        <f t="shared" ref="O581:O644" si="149">M581+N581</f>
        <v>1071855.3599999999</v>
      </c>
      <c r="P581" s="1">
        <v>5805</v>
      </c>
      <c r="Q581" s="1">
        <f t="shared" ref="Q581:Q644" si="150">O581-P581</f>
        <v>1066050.3599999999</v>
      </c>
      <c r="R581" s="1">
        <v>532818</v>
      </c>
      <c r="S581" s="1">
        <f t="shared" ref="S581:S644" si="151">U581*0.2</f>
        <v>142084.80000000002</v>
      </c>
      <c r="T581" s="1">
        <f t="shared" ref="T581:T644" si="152">U581-S581-R581</f>
        <v>35521.199999999953</v>
      </c>
      <c r="U581" s="1">
        <v>710424</v>
      </c>
      <c r="V581" s="1">
        <f t="shared" si="147"/>
        <v>355626.35999999987</v>
      </c>
      <c r="W581" s="1">
        <v>5</v>
      </c>
    </row>
    <row r="582" spans="1:23" x14ac:dyDescent="0.25">
      <c r="A582" s="1" t="s">
        <v>137</v>
      </c>
      <c r="B582" s="1" t="s">
        <v>21</v>
      </c>
      <c r="C582" s="1" t="s">
        <v>408</v>
      </c>
      <c r="D582" s="1" t="s">
        <v>22</v>
      </c>
      <c r="E582" s="1" t="s">
        <v>23</v>
      </c>
      <c r="F582" s="1" t="s">
        <v>17</v>
      </c>
      <c r="G582" s="1" t="s">
        <v>18</v>
      </c>
      <c r="H582" s="1" t="s">
        <v>399</v>
      </c>
      <c r="I582" s="1" t="s">
        <v>19</v>
      </c>
      <c r="J582" s="1" t="s">
        <v>46</v>
      </c>
      <c r="K582" s="1">
        <v>171</v>
      </c>
      <c r="L582" s="1">
        <v>18569</v>
      </c>
      <c r="M582" s="2">
        <f t="shared" si="148"/>
        <v>3175299</v>
      </c>
      <c r="N582" s="1">
        <v>542976.13</v>
      </c>
      <c r="O582" s="1">
        <f t="shared" si="149"/>
        <v>3718275.13</v>
      </c>
      <c r="P582" s="1">
        <v>7403</v>
      </c>
      <c r="Q582" s="1">
        <f t="shared" si="150"/>
        <v>3710872.13</v>
      </c>
      <c r="R582" s="1">
        <f>0.62*U582</f>
        <v>1575775.26</v>
      </c>
      <c r="S582" s="1">
        <f>U582*0.2</f>
        <v>508314.60000000003</v>
      </c>
      <c r="T582" s="1">
        <f t="shared" si="152"/>
        <v>457483.1399999999</v>
      </c>
      <c r="U582" s="1">
        <v>2541573</v>
      </c>
      <c r="V582" s="1">
        <f t="shared" si="147"/>
        <v>1169299.1299999999</v>
      </c>
      <c r="W582" s="1">
        <v>4.9000000000000004</v>
      </c>
    </row>
    <row r="583" spans="1:23" x14ac:dyDescent="0.25">
      <c r="A583" s="1" t="s">
        <v>351</v>
      </c>
      <c r="B583" s="1" t="s">
        <v>51</v>
      </c>
      <c r="C583" s="1" t="s">
        <v>408</v>
      </c>
      <c r="D583" s="1" t="s">
        <v>42</v>
      </c>
      <c r="E583" s="1" t="s">
        <v>43</v>
      </c>
      <c r="F583" s="1" t="s">
        <v>59</v>
      </c>
      <c r="G583" s="1" t="s">
        <v>121</v>
      </c>
      <c r="H583" s="1" t="s">
        <v>398</v>
      </c>
      <c r="I583" s="1" t="s">
        <v>19</v>
      </c>
      <c r="J583" s="1" t="s">
        <v>46</v>
      </c>
      <c r="K583" s="1">
        <v>23</v>
      </c>
      <c r="L583" s="1">
        <v>9848</v>
      </c>
      <c r="M583" s="2">
        <f t="shared" si="148"/>
        <v>226504</v>
      </c>
      <c r="N583" s="1">
        <v>34655.11</v>
      </c>
      <c r="O583" s="1">
        <f t="shared" si="149"/>
        <v>261159.11</v>
      </c>
      <c r="P583" s="1">
        <v>8089</v>
      </c>
      <c r="Q583" s="1">
        <f t="shared" si="150"/>
        <v>253070.11</v>
      </c>
      <c r="R583" s="1">
        <f>0.7*U583</f>
        <v>120331.4</v>
      </c>
      <c r="S583" s="1">
        <f t="shared" si="151"/>
        <v>34380.400000000001</v>
      </c>
      <c r="T583" s="1">
        <f t="shared" si="152"/>
        <v>17190.200000000012</v>
      </c>
      <c r="U583" s="1">
        <v>171902</v>
      </c>
      <c r="V583" s="1">
        <f t="shared" si="147"/>
        <v>81168.109999999986</v>
      </c>
      <c r="W583" s="1">
        <v>3.5</v>
      </c>
    </row>
    <row r="584" spans="1:23" x14ac:dyDescent="0.25">
      <c r="A584" s="1" t="s">
        <v>79</v>
      </c>
      <c r="B584" s="1" t="s">
        <v>77</v>
      </c>
      <c r="C584" s="1" t="s">
        <v>408</v>
      </c>
      <c r="D584" s="1" t="s">
        <v>55</v>
      </c>
      <c r="E584" s="1" t="s">
        <v>56</v>
      </c>
      <c r="F584" s="1" t="s">
        <v>24</v>
      </c>
      <c r="G584" s="1" t="s">
        <v>44</v>
      </c>
      <c r="H584" s="1" t="s">
        <v>398</v>
      </c>
      <c r="I584" s="1" t="s">
        <v>19</v>
      </c>
      <c r="J584" s="1" t="s">
        <v>26</v>
      </c>
      <c r="K584" s="1">
        <v>102</v>
      </c>
      <c r="L584" s="1">
        <v>18567</v>
      </c>
      <c r="M584" s="2">
        <f t="shared" si="148"/>
        <v>1893834</v>
      </c>
      <c r="N584" s="1">
        <v>289756.59999999998</v>
      </c>
      <c r="O584" s="1">
        <f t="shared" si="149"/>
        <v>2183590.6</v>
      </c>
      <c r="P584" s="1">
        <v>6180</v>
      </c>
      <c r="Q584" s="1">
        <f t="shared" si="150"/>
        <v>2177410.6</v>
      </c>
      <c r="R584" s="1">
        <v>651474</v>
      </c>
      <c r="S584" s="1">
        <f t="shared" si="151"/>
        <v>260589.6</v>
      </c>
      <c r="T584" s="1">
        <f t="shared" si="152"/>
        <v>390884.4</v>
      </c>
      <c r="U584" s="1">
        <v>1302948</v>
      </c>
      <c r="V584" s="1">
        <f t="shared" si="147"/>
        <v>874462.60000000009</v>
      </c>
      <c r="W584" s="1">
        <v>3.8</v>
      </c>
    </row>
    <row r="585" spans="1:23" x14ac:dyDescent="0.25">
      <c r="A585" s="1" t="s">
        <v>302</v>
      </c>
      <c r="B585" s="1" t="s">
        <v>109</v>
      </c>
      <c r="C585" s="1" t="s">
        <v>408</v>
      </c>
      <c r="D585" s="1" t="s">
        <v>42</v>
      </c>
      <c r="E585" s="1" t="s">
        <v>43</v>
      </c>
      <c r="F585" s="1" t="s">
        <v>24</v>
      </c>
      <c r="G585" s="1" t="s">
        <v>143</v>
      </c>
      <c r="H585" s="1" t="s">
        <v>399</v>
      </c>
      <c r="I585" s="1" t="s">
        <v>396</v>
      </c>
      <c r="J585" s="1" t="s">
        <v>26</v>
      </c>
      <c r="K585" s="1">
        <v>122</v>
      </c>
      <c r="L585" s="1">
        <v>7211</v>
      </c>
      <c r="M585" s="2">
        <f t="shared" si="148"/>
        <v>879742</v>
      </c>
      <c r="N585" s="1">
        <v>145685.28</v>
      </c>
      <c r="O585" s="1">
        <f t="shared" si="149"/>
        <v>1025427.28</v>
      </c>
      <c r="P585" s="1">
        <v>9703</v>
      </c>
      <c r="Q585" s="1">
        <f t="shared" si="150"/>
        <v>1015724.28</v>
      </c>
      <c r="R585" s="1">
        <v>177754</v>
      </c>
      <c r="S585" s="1">
        <f t="shared" si="151"/>
        <v>142203.20000000001</v>
      </c>
      <c r="T585" s="1">
        <f t="shared" si="152"/>
        <v>391058.80000000005</v>
      </c>
      <c r="U585" s="1">
        <v>711016</v>
      </c>
      <c r="V585" s="1">
        <f t="shared" si="147"/>
        <v>304708.28000000003</v>
      </c>
      <c r="W585" s="1">
        <v>4.5999999999999996</v>
      </c>
    </row>
    <row r="586" spans="1:23" x14ac:dyDescent="0.25">
      <c r="A586" s="1" t="s">
        <v>352</v>
      </c>
      <c r="B586" s="1" t="s">
        <v>51</v>
      </c>
      <c r="C586" s="1" t="s">
        <v>408</v>
      </c>
      <c r="D586" s="1" t="s">
        <v>78</v>
      </c>
      <c r="E586" s="1" t="s">
        <v>49</v>
      </c>
      <c r="F586" s="1" t="s">
        <v>29</v>
      </c>
      <c r="G586" s="1" t="s">
        <v>30</v>
      </c>
      <c r="H586" s="1" t="s">
        <v>399</v>
      </c>
      <c r="I586" s="1" t="s">
        <v>19</v>
      </c>
      <c r="J586" s="1" t="s">
        <v>46</v>
      </c>
      <c r="K586" s="1">
        <v>74</v>
      </c>
      <c r="L586" s="1">
        <v>10265</v>
      </c>
      <c r="M586" s="2">
        <f t="shared" si="148"/>
        <v>759610</v>
      </c>
      <c r="N586" s="1">
        <v>116220.33</v>
      </c>
      <c r="O586" s="1">
        <f t="shared" si="149"/>
        <v>875830.33</v>
      </c>
      <c r="P586" s="1">
        <v>8692</v>
      </c>
      <c r="Q586" s="1">
        <f t="shared" si="150"/>
        <v>867138.33</v>
      </c>
      <c r="R586" s="1">
        <v>265401</v>
      </c>
      <c r="S586" s="1">
        <f>U586*0.1</f>
        <v>53080.200000000004</v>
      </c>
      <c r="T586" s="1">
        <f t="shared" si="152"/>
        <v>212320.8</v>
      </c>
      <c r="U586" s="1">
        <v>530802</v>
      </c>
      <c r="V586" s="1">
        <f t="shared" si="147"/>
        <v>336336.32999999996</v>
      </c>
      <c r="W586" s="1">
        <v>4.2</v>
      </c>
    </row>
    <row r="587" spans="1:23" x14ac:dyDescent="0.25">
      <c r="A587" s="1" t="s">
        <v>226</v>
      </c>
      <c r="B587" s="1" t="s">
        <v>69</v>
      </c>
      <c r="C587" s="1" t="s">
        <v>408</v>
      </c>
      <c r="D587" s="1" t="s">
        <v>52</v>
      </c>
      <c r="E587" s="1" t="s">
        <v>23</v>
      </c>
      <c r="F587" s="1" t="s">
        <v>59</v>
      </c>
      <c r="G587" s="1" t="s">
        <v>67</v>
      </c>
      <c r="H587" s="1" t="s">
        <v>398</v>
      </c>
      <c r="I587" s="1" t="s">
        <v>39</v>
      </c>
      <c r="J587" s="1" t="s">
        <v>26</v>
      </c>
      <c r="K587" s="1">
        <v>25</v>
      </c>
      <c r="L587" s="1">
        <v>3127</v>
      </c>
      <c r="M587" s="2">
        <f t="shared" si="148"/>
        <v>78175</v>
      </c>
      <c r="N587" s="1">
        <v>11960.77</v>
      </c>
      <c r="O587" s="1">
        <f t="shared" si="149"/>
        <v>90135.77</v>
      </c>
      <c r="P587" s="1">
        <v>7680</v>
      </c>
      <c r="Q587" s="1">
        <f t="shared" si="150"/>
        <v>82455.77</v>
      </c>
      <c r="R587" s="1">
        <f>0.7*U587</f>
        <v>36155</v>
      </c>
      <c r="S587" s="1">
        <f t="shared" si="151"/>
        <v>10330</v>
      </c>
      <c r="T587" s="1">
        <f t="shared" si="152"/>
        <v>5165</v>
      </c>
      <c r="U587" s="1">
        <v>51650</v>
      </c>
      <c r="V587" s="1">
        <f t="shared" si="147"/>
        <v>30805.770000000004</v>
      </c>
      <c r="W587" s="1">
        <v>4.5</v>
      </c>
    </row>
    <row r="588" spans="1:23" x14ac:dyDescent="0.25">
      <c r="A588" s="1" t="s">
        <v>353</v>
      </c>
      <c r="B588" s="1" t="s">
        <v>32</v>
      </c>
      <c r="C588" s="1" t="s">
        <v>408</v>
      </c>
      <c r="D588" s="1" t="s">
        <v>62</v>
      </c>
      <c r="E588" s="1" t="s">
        <v>43</v>
      </c>
      <c r="F588" s="1" t="s">
        <v>17</v>
      </c>
      <c r="G588" s="1" t="s">
        <v>38</v>
      </c>
      <c r="H588" s="1" t="s">
        <v>398</v>
      </c>
      <c r="I588" s="1" t="s">
        <v>39</v>
      </c>
      <c r="J588" s="1" t="s">
        <v>26</v>
      </c>
      <c r="K588" s="1">
        <v>166</v>
      </c>
      <c r="L588" s="1">
        <v>4208</v>
      </c>
      <c r="M588" s="2">
        <f t="shared" si="148"/>
        <v>698528</v>
      </c>
      <c r="N588" s="1">
        <v>115676.24</v>
      </c>
      <c r="O588" s="1">
        <f t="shared" si="149"/>
        <v>814204.24</v>
      </c>
      <c r="P588" s="1">
        <v>5896</v>
      </c>
      <c r="Q588" s="1">
        <f t="shared" si="150"/>
        <v>808308.24</v>
      </c>
      <c r="R588" s="1">
        <f t="shared" ref="R588:R590" si="153">0.62*U588</f>
        <v>279427.8</v>
      </c>
      <c r="S588" s="1">
        <f t="shared" si="151"/>
        <v>90138</v>
      </c>
      <c r="T588" s="1">
        <f t="shared" si="152"/>
        <v>81124.200000000012</v>
      </c>
      <c r="U588" s="1">
        <v>450690</v>
      </c>
      <c r="V588" s="1">
        <f t="shared" si="147"/>
        <v>357618.24</v>
      </c>
      <c r="W588" s="1">
        <v>4.7</v>
      </c>
    </row>
    <row r="589" spans="1:23" x14ac:dyDescent="0.25">
      <c r="A589" s="1" t="s">
        <v>354</v>
      </c>
      <c r="B589" s="1" t="s">
        <v>21</v>
      </c>
      <c r="C589" s="1" t="s">
        <v>408</v>
      </c>
      <c r="D589" s="1" t="s">
        <v>52</v>
      </c>
      <c r="E589" s="1" t="s">
        <v>23</v>
      </c>
      <c r="F589" s="1" t="s">
        <v>17</v>
      </c>
      <c r="G589" s="1" t="s">
        <v>38</v>
      </c>
      <c r="H589" s="1" t="s">
        <v>398</v>
      </c>
      <c r="I589" s="1" t="s">
        <v>397</v>
      </c>
      <c r="J589" s="1" t="s">
        <v>26</v>
      </c>
      <c r="K589" s="1">
        <v>87</v>
      </c>
      <c r="L589" s="1">
        <v>36463</v>
      </c>
      <c r="M589" s="2">
        <f t="shared" si="148"/>
        <v>3172281</v>
      </c>
      <c r="N589" s="1">
        <v>485358.99</v>
      </c>
      <c r="O589" s="1">
        <f t="shared" si="149"/>
        <v>3657639.99</v>
      </c>
      <c r="P589" s="1">
        <v>7940</v>
      </c>
      <c r="Q589" s="1">
        <f t="shared" si="150"/>
        <v>3649699.99</v>
      </c>
      <c r="R589" s="1">
        <f t="shared" si="153"/>
        <v>1343645.4</v>
      </c>
      <c r="S589" s="1">
        <f t="shared" si="151"/>
        <v>433434</v>
      </c>
      <c r="T589" s="1">
        <f t="shared" si="152"/>
        <v>390090.60000000009</v>
      </c>
      <c r="U589" s="1">
        <v>2167170</v>
      </c>
      <c r="V589" s="1">
        <f t="shared" si="147"/>
        <v>1482529.9900000002</v>
      </c>
      <c r="W589" s="1">
        <v>3.8</v>
      </c>
    </row>
    <row r="590" spans="1:23" x14ac:dyDescent="0.25">
      <c r="A590" s="1" t="s">
        <v>288</v>
      </c>
      <c r="B590" s="1" t="s">
        <v>21</v>
      </c>
      <c r="C590" s="1" t="s">
        <v>408</v>
      </c>
      <c r="D590" s="1" t="s">
        <v>42</v>
      </c>
      <c r="E590" s="1" t="s">
        <v>43</v>
      </c>
      <c r="F590" s="1" t="s">
        <v>17</v>
      </c>
      <c r="G590" s="1" t="s">
        <v>35</v>
      </c>
      <c r="H590" s="1" t="s">
        <v>398</v>
      </c>
      <c r="I590" s="1" t="s">
        <v>395</v>
      </c>
      <c r="J590" s="1" t="s">
        <v>26</v>
      </c>
      <c r="K590" s="1">
        <v>41</v>
      </c>
      <c r="L590" s="1">
        <v>2024</v>
      </c>
      <c r="M590" s="2">
        <f t="shared" si="148"/>
        <v>82984</v>
      </c>
      <c r="N590" s="1">
        <v>12696.55</v>
      </c>
      <c r="O590" s="1">
        <f t="shared" si="149"/>
        <v>95680.55</v>
      </c>
      <c r="P590" s="1">
        <v>9022</v>
      </c>
      <c r="Q590" s="1">
        <f t="shared" si="150"/>
        <v>86658.55</v>
      </c>
      <c r="R590" s="1">
        <f t="shared" si="153"/>
        <v>41612.54</v>
      </c>
      <c r="S590" s="1">
        <f t="shared" si="151"/>
        <v>13423.400000000001</v>
      </c>
      <c r="T590" s="1">
        <f t="shared" si="152"/>
        <v>12081.059999999998</v>
      </c>
      <c r="U590" s="1">
        <v>67117</v>
      </c>
      <c r="V590" s="1">
        <f t="shared" si="147"/>
        <v>19541.550000000003</v>
      </c>
      <c r="W590" s="1">
        <v>3.5</v>
      </c>
    </row>
    <row r="591" spans="1:23" x14ac:dyDescent="0.25">
      <c r="A591" s="1" t="s">
        <v>328</v>
      </c>
      <c r="B591" s="1" t="s">
        <v>51</v>
      </c>
      <c r="C591" s="1" t="s">
        <v>408</v>
      </c>
      <c r="D591" s="1" t="s">
        <v>48</v>
      </c>
      <c r="E591" s="1" t="s">
        <v>49</v>
      </c>
      <c r="F591" s="1" t="s">
        <v>59</v>
      </c>
      <c r="G591" s="1" t="s">
        <v>121</v>
      </c>
      <c r="H591" s="1" t="s">
        <v>398</v>
      </c>
      <c r="I591" s="1" t="s">
        <v>397</v>
      </c>
      <c r="J591" s="1" t="s">
        <v>26</v>
      </c>
      <c r="K591" s="1">
        <v>54</v>
      </c>
      <c r="L591" s="1">
        <v>26140</v>
      </c>
      <c r="M591" s="2">
        <f t="shared" si="148"/>
        <v>1411560</v>
      </c>
      <c r="N591" s="1">
        <v>241376.76</v>
      </c>
      <c r="O591" s="1">
        <f t="shared" si="149"/>
        <v>1652936.76</v>
      </c>
      <c r="P591" s="1">
        <v>5794</v>
      </c>
      <c r="Q591" s="1">
        <f t="shared" si="150"/>
        <v>1647142.76</v>
      </c>
      <c r="R591" s="1">
        <f>0.7*U591</f>
        <v>674389.79999999993</v>
      </c>
      <c r="S591" s="1">
        <f t="shared" si="151"/>
        <v>192682.80000000002</v>
      </c>
      <c r="T591" s="1">
        <f t="shared" si="152"/>
        <v>96341.400000000023</v>
      </c>
      <c r="U591" s="1">
        <v>963414</v>
      </c>
      <c r="V591" s="1">
        <f t="shared" si="147"/>
        <v>683728.76</v>
      </c>
      <c r="W591" s="1">
        <v>3.6</v>
      </c>
    </row>
    <row r="592" spans="1:23" x14ac:dyDescent="0.25">
      <c r="A592" s="1" t="s">
        <v>222</v>
      </c>
      <c r="B592" s="1" t="s">
        <v>109</v>
      </c>
      <c r="C592" s="1" t="s">
        <v>408</v>
      </c>
      <c r="D592" s="1" t="s">
        <v>15</v>
      </c>
      <c r="E592" s="1" t="s">
        <v>16</v>
      </c>
      <c r="F592" s="1" t="s">
        <v>17</v>
      </c>
      <c r="G592" s="1" t="s">
        <v>72</v>
      </c>
      <c r="H592" s="1" t="s">
        <v>398</v>
      </c>
      <c r="I592" s="1" t="s">
        <v>396</v>
      </c>
      <c r="J592" s="1" t="s">
        <v>46</v>
      </c>
      <c r="K592" s="1">
        <v>85</v>
      </c>
      <c r="L592" s="1">
        <v>10697</v>
      </c>
      <c r="M592" s="2">
        <f t="shared" si="148"/>
        <v>909245</v>
      </c>
      <c r="N592" s="1">
        <v>139114.48000000001</v>
      </c>
      <c r="O592" s="1">
        <f t="shared" si="149"/>
        <v>1048359.48</v>
      </c>
      <c r="P592" s="1">
        <v>8971</v>
      </c>
      <c r="Q592" s="1">
        <f t="shared" si="150"/>
        <v>1039388.48</v>
      </c>
      <c r="R592" s="1">
        <f>0.62*U592</f>
        <v>411639.7</v>
      </c>
      <c r="S592" s="1">
        <f>U592*0.2</f>
        <v>132787</v>
      </c>
      <c r="T592" s="1">
        <f t="shared" si="152"/>
        <v>119508.29999999999</v>
      </c>
      <c r="U592" s="1">
        <v>663935</v>
      </c>
      <c r="V592" s="1">
        <f t="shared" si="147"/>
        <v>375453.48</v>
      </c>
      <c r="W592" s="1">
        <v>3.7</v>
      </c>
    </row>
    <row r="593" spans="1:23" x14ac:dyDescent="0.25">
      <c r="A593" s="1" t="s">
        <v>137</v>
      </c>
      <c r="B593" s="1" t="s">
        <v>41</v>
      </c>
      <c r="C593" s="1" t="s">
        <v>408</v>
      </c>
      <c r="D593" s="1" t="s">
        <v>62</v>
      </c>
      <c r="E593" s="1" t="s">
        <v>43</v>
      </c>
      <c r="F593" s="1" t="s">
        <v>24</v>
      </c>
      <c r="G593" s="1" t="s">
        <v>25</v>
      </c>
      <c r="H593" s="1" t="s">
        <v>399</v>
      </c>
      <c r="I593" s="1" t="s">
        <v>397</v>
      </c>
      <c r="J593" s="1" t="s">
        <v>26</v>
      </c>
      <c r="K593" s="1">
        <v>126</v>
      </c>
      <c r="L593" s="1">
        <v>14898</v>
      </c>
      <c r="M593" s="2">
        <f t="shared" si="148"/>
        <v>1877148</v>
      </c>
      <c r="N593" s="1">
        <v>287203.64</v>
      </c>
      <c r="O593" s="1">
        <f t="shared" si="149"/>
        <v>2164351.64</v>
      </c>
      <c r="P593" s="1">
        <v>5196</v>
      </c>
      <c r="Q593" s="1">
        <f t="shared" si="150"/>
        <v>2159155.64</v>
      </c>
      <c r="R593" s="1">
        <v>634914</v>
      </c>
      <c r="S593" s="1">
        <f t="shared" si="151"/>
        <v>253965.6</v>
      </c>
      <c r="T593" s="1">
        <f t="shared" si="152"/>
        <v>380948.4</v>
      </c>
      <c r="U593" s="1">
        <v>1269828</v>
      </c>
      <c r="V593" s="1">
        <f t="shared" si="147"/>
        <v>889327.64000000013</v>
      </c>
      <c r="W593" s="1">
        <v>3.9</v>
      </c>
    </row>
    <row r="594" spans="1:23" x14ac:dyDescent="0.25">
      <c r="A594" s="1" t="s">
        <v>324</v>
      </c>
      <c r="B594" s="1" t="s">
        <v>77</v>
      </c>
      <c r="C594" s="1" t="s">
        <v>408</v>
      </c>
      <c r="D594" s="1" t="s">
        <v>22</v>
      </c>
      <c r="E594" s="1" t="s">
        <v>23</v>
      </c>
      <c r="F594" s="1" t="s">
        <v>59</v>
      </c>
      <c r="G594" s="1" t="s">
        <v>85</v>
      </c>
      <c r="H594" s="1" t="s">
        <v>399</v>
      </c>
      <c r="I594" s="1" t="s">
        <v>396</v>
      </c>
      <c r="J594" s="1" t="s">
        <v>26</v>
      </c>
      <c r="K594" s="1">
        <v>52</v>
      </c>
      <c r="L594" s="1">
        <v>5424</v>
      </c>
      <c r="M594" s="2">
        <f t="shared" si="148"/>
        <v>282048</v>
      </c>
      <c r="N594" s="1">
        <v>46707.15</v>
      </c>
      <c r="O594" s="1">
        <f t="shared" si="149"/>
        <v>328755.15000000002</v>
      </c>
      <c r="P594" s="1">
        <v>6097</v>
      </c>
      <c r="Q594" s="1">
        <f t="shared" si="150"/>
        <v>322658.15000000002</v>
      </c>
      <c r="R594" s="1">
        <f>0.7*U594</f>
        <v>123723.59999999999</v>
      </c>
      <c r="S594" s="1">
        <f t="shared" si="151"/>
        <v>35349.599999999999</v>
      </c>
      <c r="T594" s="1">
        <f t="shared" si="152"/>
        <v>17674.800000000003</v>
      </c>
      <c r="U594" s="1">
        <v>176748</v>
      </c>
      <c r="V594" s="1">
        <f t="shared" si="147"/>
        <v>145910.15000000002</v>
      </c>
      <c r="W594" s="1">
        <v>3.9</v>
      </c>
    </row>
    <row r="595" spans="1:23" x14ac:dyDescent="0.25">
      <c r="A595" s="1" t="s">
        <v>234</v>
      </c>
      <c r="B595" s="1" t="s">
        <v>28</v>
      </c>
      <c r="C595" s="1" t="s">
        <v>408</v>
      </c>
      <c r="D595" s="1" t="s">
        <v>42</v>
      </c>
      <c r="E595" s="1" t="s">
        <v>43</v>
      </c>
      <c r="F595" s="1" t="s">
        <v>17</v>
      </c>
      <c r="G595" s="1" t="s">
        <v>38</v>
      </c>
      <c r="H595" s="1" t="s">
        <v>398</v>
      </c>
      <c r="I595" s="1" t="s">
        <v>39</v>
      </c>
      <c r="J595" s="1" t="s">
        <v>26</v>
      </c>
      <c r="K595" s="1">
        <v>39</v>
      </c>
      <c r="L595" s="1">
        <v>8553</v>
      </c>
      <c r="M595" s="2">
        <f t="shared" si="148"/>
        <v>333567</v>
      </c>
      <c r="N595" s="1">
        <v>60042.06</v>
      </c>
      <c r="O595" s="1">
        <f t="shared" si="149"/>
        <v>393609.06</v>
      </c>
      <c r="P595" s="1">
        <v>7674</v>
      </c>
      <c r="Q595" s="1">
        <f t="shared" si="150"/>
        <v>385935.06</v>
      </c>
      <c r="R595" s="1">
        <f>0.62*U595</f>
        <v>159007.67999999999</v>
      </c>
      <c r="S595" s="1">
        <f>U595*0.2</f>
        <v>51292.800000000003</v>
      </c>
      <c r="T595" s="1">
        <f t="shared" si="152"/>
        <v>46163.520000000019</v>
      </c>
      <c r="U595" s="1">
        <v>256464</v>
      </c>
      <c r="V595" s="1">
        <f t="shared" si="147"/>
        <v>129471.06</v>
      </c>
      <c r="W595" s="1">
        <v>4.9000000000000004</v>
      </c>
    </row>
    <row r="596" spans="1:23" x14ac:dyDescent="0.25">
      <c r="A596" s="1" t="s">
        <v>213</v>
      </c>
      <c r="B596" s="1" t="s">
        <v>14</v>
      </c>
      <c r="C596" s="1" t="s">
        <v>408</v>
      </c>
      <c r="D596" s="1" t="s">
        <v>52</v>
      </c>
      <c r="E596" s="1" t="s">
        <v>23</v>
      </c>
      <c r="F596" s="1" t="s">
        <v>59</v>
      </c>
      <c r="G596" s="1" t="s">
        <v>103</v>
      </c>
      <c r="H596" s="1" t="s">
        <v>398</v>
      </c>
      <c r="I596" s="1" t="s">
        <v>397</v>
      </c>
      <c r="J596" s="1" t="s">
        <v>46</v>
      </c>
      <c r="K596" s="1">
        <v>15</v>
      </c>
      <c r="L596" s="1">
        <v>22111</v>
      </c>
      <c r="M596" s="2">
        <f t="shared" si="148"/>
        <v>331665</v>
      </c>
      <c r="N596" s="1">
        <v>59699.7</v>
      </c>
      <c r="O596" s="1">
        <f t="shared" si="149"/>
        <v>391364.7</v>
      </c>
      <c r="P596" s="1">
        <v>5243</v>
      </c>
      <c r="Q596" s="1">
        <f t="shared" si="150"/>
        <v>386121.7</v>
      </c>
      <c r="R596" s="1">
        <f>0.7*U596</f>
        <v>150139.5</v>
      </c>
      <c r="S596" s="1">
        <f t="shared" si="151"/>
        <v>42897</v>
      </c>
      <c r="T596" s="1">
        <f t="shared" si="152"/>
        <v>21448.5</v>
      </c>
      <c r="U596" s="1">
        <v>214485</v>
      </c>
      <c r="V596" s="1">
        <f t="shared" si="147"/>
        <v>171636.7</v>
      </c>
      <c r="W596" s="1">
        <v>4.0999999999999996</v>
      </c>
    </row>
    <row r="597" spans="1:23" x14ac:dyDescent="0.25">
      <c r="A597" s="1" t="s">
        <v>90</v>
      </c>
      <c r="B597" s="1" t="s">
        <v>28</v>
      </c>
      <c r="C597" s="1" t="s">
        <v>408</v>
      </c>
      <c r="D597" s="1" t="s">
        <v>42</v>
      </c>
      <c r="E597" s="1" t="s">
        <v>43</v>
      </c>
      <c r="F597" s="1" t="s">
        <v>17</v>
      </c>
      <c r="G597" s="1" t="s">
        <v>72</v>
      </c>
      <c r="H597" s="1" t="s">
        <v>399</v>
      </c>
      <c r="I597" s="1" t="s">
        <v>19</v>
      </c>
      <c r="J597" s="1" t="s">
        <v>26</v>
      </c>
      <c r="K597" s="1">
        <v>17</v>
      </c>
      <c r="L597" s="1">
        <v>30450</v>
      </c>
      <c r="M597" s="2">
        <f t="shared" si="148"/>
        <v>517650</v>
      </c>
      <c r="N597" s="1">
        <v>88518.15</v>
      </c>
      <c r="O597" s="1">
        <f t="shared" si="149"/>
        <v>606168.15</v>
      </c>
      <c r="P597" s="1">
        <v>6271</v>
      </c>
      <c r="Q597" s="1">
        <f t="shared" si="150"/>
        <v>599897.15</v>
      </c>
      <c r="R597" s="1">
        <f t="shared" ref="R597:R598" si="154">0.62*U597</f>
        <v>229160.68</v>
      </c>
      <c r="S597" s="1">
        <f t="shared" si="151"/>
        <v>73922.8</v>
      </c>
      <c r="T597" s="1">
        <f t="shared" si="152"/>
        <v>66530.520000000019</v>
      </c>
      <c r="U597" s="1">
        <v>369614</v>
      </c>
      <c r="V597" s="1">
        <f t="shared" si="147"/>
        <v>230283.15000000002</v>
      </c>
      <c r="W597" s="1">
        <v>4.9000000000000004</v>
      </c>
    </row>
    <row r="598" spans="1:23" x14ac:dyDescent="0.25">
      <c r="A598" s="1" t="s">
        <v>108</v>
      </c>
      <c r="B598" s="1" t="s">
        <v>34</v>
      </c>
      <c r="C598" s="1" t="s">
        <v>408</v>
      </c>
      <c r="D598" s="1" t="s">
        <v>48</v>
      </c>
      <c r="E598" s="1" t="s">
        <v>49</v>
      </c>
      <c r="F598" s="1" t="s">
        <v>17</v>
      </c>
      <c r="G598" s="1" t="s">
        <v>38</v>
      </c>
      <c r="H598" s="1" t="s">
        <v>398</v>
      </c>
      <c r="I598" s="1" t="s">
        <v>396</v>
      </c>
      <c r="J598" s="1" t="s">
        <v>26</v>
      </c>
      <c r="K598" s="1">
        <v>108</v>
      </c>
      <c r="L598" s="1">
        <v>2167</v>
      </c>
      <c r="M598" s="2">
        <f t="shared" si="148"/>
        <v>234036</v>
      </c>
      <c r="N598" s="1">
        <v>38756.36</v>
      </c>
      <c r="O598" s="1">
        <f t="shared" si="149"/>
        <v>272792.36</v>
      </c>
      <c r="P598" s="1">
        <v>9561</v>
      </c>
      <c r="Q598" s="1">
        <f t="shared" si="150"/>
        <v>263231.35999999999</v>
      </c>
      <c r="R598" s="1">
        <f t="shared" si="154"/>
        <v>105796.8</v>
      </c>
      <c r="S598" s="1">
        <f t="shared" si="151"/>
        <v>34128</v>
      </c>
      <c r="T598" s="1">
        <f t="shared" si="152"/>
        <v>30715.199999999997</v>
      </c>
      <c r="U598" s="1">
        <v>170640</v>
      </c>
      <c r="V598" s="1">
        <f t="shared" si="147"/>
        <v>92591.359999999986</v>
      </c>
      <c r="W598" s="1">
        <v>3.9</v>
      </c>
    </row>
    <row r="599" spans="1:23" x14ac:dyDescent="0.25">
      <c r="A599" s="1" t="s">
        <v>185</v>
      </c>
      <c r="B599" s="1" t="s">
        <v>69</v>
      </c>
      <c r="C599" s="1" t="s">
        <v>408</v>
      </c>
      <c r="D599" s="1" t="s">
        <v>48</v>
      </c>
      <c r="E599" s="1" t="s">
        <v>49</v>
      </c>
      <c r="F599" s="1" t="s">
        <v>24</v>
      </c>
      <c r="G599" s="1" t="s">
        <v>63</v>
      </c>
      <c r="H599" s="1" t="s">
        <v>398</v>
      </c>
      <c r="I599" s="1" t="s">
        <v>397</v>
      </c>
      <c r="J599" s="1" t="s">
        <v>46</v>
      </c>
      <c r="K599" s="1">
        <v>187</v>
      </c>
      <c r="L599" s="1">
        <v>36390</v>
      </c>
      <c r="M599" s="2">
        <f t="shared" si="148"/>
        <v>6804930</v>
      </c>
      <c r="N599" s="1">
        <v>1077900.9099999999</v>
      </c>
      <c r="O599" s="1">
        <f t="shared" si="149"/>
        <v>7882830.9100000001</v>
      </c>
      <c r="P599" s="1">
        <v>6090</v>
      </c>
      <c r="Q599" s="1">
        <f t="shared" si="150"/>
        <v>7876740.9100000001</v>
      </c>
      <c r="R599" s="1">
        <v>3488999.25</v>
      </c>
      <c r="S599" s="1">
        <f t="shared" si="151"/>
        <v>930399.8</v>
      </c>
      <c r="T599" s="1">
        <f t="shared" si="152"/>
        <v>232599.95000000019</v>
      </c>
      <c r="U599" s="1">
        <v>4651999</v>
      </c>
      <c r="V599" s="1">
        <f t="shared" si="147"/>
        <v>3224741.91</v>
      </c>
      <c r="W599" s="1">
        <v>3.9</v>
      </c>
    </row>
    <row r="600" spans="1:23" x14ac:dyDescent="0.25">
      <c r="A600" s="1" t="s">
        <v>125</v>
      </c>
      <c r="B600" s="1" t="s">
        <v>41</v>
      </c>
      <c r="C600" s="1" t="s">
        <v>408</v>
      </c>
      <c r="D600" s="1" t="s">
        <v>74</v>
      </c>
      <c r="E600" s="1" t="s">
        <v>56</v>
      </c>
      <c r="F600" s="1" t="s">
        <v>24</v>
      </c>
      <c r="G600" s="1" t="s">
        <v>44</v>
      </c>
      <c r="H600" s="1" t="s">
        <v>399</v>
      </c>
      <c r="I600" s="1" t="s">
        <v>397</v>
      </c>
      <c r="J600" s="1" t="s">
        <v>26</v>
      </c>
      <c r="K600" s="1">
        <v>169</v>
      </c>
      <c r="L600" s="1">
        <v>22789</v>
      </c>
      <c r="M600" s="2">
        <f t="shared" si="148"/>
        <v>3851341</v>
      </c>
      <c r="N600" s="1">
        <v>589255.17000000004</v>
      </c>
      <c r="O600" s="1">
        <f t="shared" si="149"/>
        <v>4440596.17</v>
      </c>
      <c r="P600" s="1">
        <v>9263</v>
      </c>
      <c r="Q600" s="1">
        <f t="shared" si="150"/>
        <v>4431333.17</v>
      </c>
      <c r="R600" s="1">
        <v>1519732.5</v>
      </c>
      <c r="S600" s="1">
        <f t="shared" si="151"/>
        <v>607893</v>
      </c>
      <c r="T600" s="1">
        <f t="shared" si="152"/>
        <v>911839.5</v>
      </c>
      <c r="U600" s="1">
        <v>3039465</v>
      </c>
      <c r="V600" s="1">
        <f t="shared" si="147"/>
        <v>1391868.17</v>
      </c>
      <c r="W600" s="1">
        <v>4.8</v>
      </c>
    </row>
    <row r="601" spans="1:23" x14ac:dyDescent="0.25">
      <c r="A601" s="1" t="s">
        <v>113</v>
      </c>
      <c r="B601" s="1" t="s">
        <v>51</v>
      </c>
      <c r="C601" s="1" t="s">
        <v>408</v>
      </c>
      <c r="D601" s="1" t="s">
        <v>74</v>
      </c>
      <c r="E601" s="1" t="s">
        <v>56</v>
      </c>
      <c r="F601" s="1" t="s">
        <v>29</v>
      </c>
      <c r="G601" s="1" t="s">
        <v>30</v>
      </c>
      <c r="H601" s="1" t="s">
        <v>399</v>
      </c>
      <c r="I601" s="1" t="s">
        <v>396</v>
      </c>
      <c r="J601" s="1" t="s">
        <v>46</v>
      </c>
      <c r="K601" s="1">
        <v>100</v>
      </c>
      <c r="L601" s="1">
        <v>10297</v>
      </c>
      <c r="M601" s="2">
        <f t="shared" si="148"/>
        <v>1029700</v>
      </c>
      <c r="N601" s="1">
        <v>176078.7</v>
      </c>
      <c r="O601" s="1">
        <f t="shared" si="149"/>
        <v>1205778.7</v>
      </c>
      <c r="P601" s="1">
        <v>9639</v>
      </c>
      <c r="Q601" s="1">
        <f t="shared" si="150"/>
        <v>1196139.7</v>
      </c>
      <c r="R601" s="1">
        <v>360550</v>
      </c>
      <c r="S601" s="1">
        <f>U601*0.1</f>
        <v>72110</v>
      </c>
      <c r="T601" s="1">
        <f t="shared" si="152"/>
        <v>288440</v>
      </c>
      <c r="U601" s="1">
        <v>721100</v>
      </c>
      <c r="V601" s="1">
        <f t="shared" si="147"/>
        <v>475039.69999999995</v>
      </c>
      <c r="W601" s="1">
        <v>3.6</v>
      </c>
    </row>
    <row r="602" spans="1:23" x14ac:dyDescent="0.25">
      <c r="A602" s="1" t="s">
        <v>92</v>
      </c>
      <c r="B602" s="1" t="s">
        <v>51</v>
      </c>
      <c r="C602" s="1" t="s">
        <v>408</v>
      </c>
      <c r="D602" s="1" t="s">
        <v>74</v>
      </c>
      <c r="E602" s="1" t="s">
        <v>56</v>
      </c>
      <c r="F602" s="1" t="s">
        <v>59</v>
      </c>
      <c r="G602" s="1" t="s">
        <v>60</v>
      </c>
      <c r="H602" s="1" t="s">
        <v>399</v>
      </c>
      <c r="I602" s="1" t="s">
        <v>19</v>
      </c>
      <c r="J602" s="1" t="s">
        <v>26</v>
      </c>
      <c r="K602" s="1">
        <v>136</v>
      </c>
      <c r="L602" s="1">
        <v>5587</v>
      </c>
      <c r="M602" s="2">
        <f t="shared" si="148"/>
        <v>759832</v>
      </c>
      <c r="N602" s="1">
        <v>125828.18</v>
      </c>
      <c r="O602" s="1">
        <f t="shared" si="149"/>
        <v>885660.17999999993</v>
      </c>
      <c r="P602" s="1">
        <v>6214</v>
      </c>
      <c r="Q602" s="1">
        <f t="shared" si="150"/>
        <v>879446.17999999993</v>
      </c>
      <c r="R602" s="1">
        <f>0.7*U602</f>
        <v>377563.19999999995</v>
      </c>
      <c r="S602" s="1">
        <f t="shared" si="151"/>
        <v>107875.20000000001</v>
      </c>
      <c r="T602" s="1">
        <f t="shared" si="152"/>
        <v>53937.600000000035</v>
      </c>
      <c r="U602" s="1">
        <v>539376</v>
      </c>
      <c r="V602" s="1">
        <f t="shared" si="147"/>
        <v>340070.17999999993</v>
      </c>
      <c r="W602" s="1">
        <v>4.4000000000000004</v>
      </c>
    </row>
    <row r="603" spans="1:23" x14ac:dyDescent="0.25">
      <c r="A603" s="1" t="s">
        <v>193</v>
      </c>
      <c r="B603" s="1" t="s">
        <v>32</v>
      </c>
      <c r="C603" s="1" t="s">
        <v>408</v>
      </c>
      <c r="D603" s="1" t="s">
        <v>55</v>
      </c>
      <c r="E603" s="1" t="s">
        <v>56</v>
      </c>
      <c r="F603" s="1" t="s">
        <v>24</v>
      </c>
      <c r="G603" s="1" t="s">
        <v>63</v>
      </c>
      <c r="H603" s="1" t="s">
        <v>399</v>
      </c>
      <c r="I603" s="1" t="s">
        <v>19</v>
      </c>
      <c r="J603" s="1" t="s">
        <v>46</v>
      </c>
      <c r="K603" s="1">
        <v>17</v>
      </c>
      <c r="L603" s="1">
        <v>22574</v>
      </c>
      <c r="M603" s="2">
        <f t="shared" si="148"/>
        <v>383758</v>
      </c>
      <c r="N603" s="1">
        <v>58714.97</v>
      </c>
      <c r="O603" s="1">
        <f t="shared" si="149"/>
        <v>442472.97</v>
      </c>
      <c r="P603" s="1">
        <v>8071</v>
      </c>
      <c r="Q603" s="1">
        <f t="shared" si="150"/>
        <v>434401.97</v>
      </c>
      <c r="R603" s="1">
        <v>120861.5</v>
      </c>
      <c r="S603" s="1">
        <f t="shared" si="151"/>
        <v>48344.600000000006</v>
      </c>
      <c r="T603" s="1">
        <f t="shared" si="152"/>
        <v>72516.899999999994</v>
      </c>
      <c r="U603" s="1">
        <v>241723</v>
      </c>
      <c r="V603" s="1">
        <f t="shared" si="147"/>
        <v>192678.96999999997</v>
      </c>
      <c r="W603" s="1">
        <v>3.8</v>
      </c>
    </row>
    <row r="604" spans="1:23" x14ac:dyDescent="0.25">
      <c r="A604" s="1" t="s">
        <v>314</v>
      </c>
      <c r="B604" s="1" t="s">
        <v>58</v>
      </c>
      <c r="C604" s="1" t="s">
        <v>408</v>
      </c>
      <c r="D604" s="1" t="s">
        <v>78</v>
      </c>
      <c r="E604" s="1" t="s">
        <v>49</v>
      </c>
      <c r="F604" s="1" t="s">
        <v>59</v>
      </c>
      <c r="G604" s="1" t="s">
        <v>85</v>
      </c>
      <c r="H604" s="1" t="s">
        <v>398</v>
      </c>
      <c r="I604" s="1" t="s">
        <v>39</v>
      </c>
      <c r="J604" s="1" t="s">
        <v>46</v>
      </c>
      <c r="K604" s="1">
        <v>190</v>
      </c>
      <c r="L604" s="1">
        <v>2405</v>
      </c>
      <c r="M604" s="2">
        <f t="shared" si="148"/>
        <v>456950</v>
      </c>
      <c r="N604" s="1">
        <v>78138.45</v>
      </c>
      <c r="O604" s="1">
        <f t="shared" si="149"/>
        <v>535088.44999999995</v>
      </c>
      <c r="P604" s="1">
        <v>7107</v>
      </c>
      <c r="Q604" s="1">
        <f t="shared" si="150"/>
        <v>527981.44999999995</v>
      </c>
      <c r="R604" s="1">
        <f>0.7*U604</f>
        <v>220913</v>
      </c>
      <c r="S604" s="1">
        <f t="shared" si="151"/>
        <v>63118</v>
      </c>
      <c r="T604" s="1">
        <f t="shared" si="152"/>
        <v>31559</v>
      </c>
      <c r="U604" s="1">
        <v>315590</v>
      </c>
      <c r="V604" s="1">
        <f t="shared" si="147"/>
        <v>212391.44999999995</v>
      </c>
      <c r="W604" s="1">
        <v>3.7</v>
      </c>
    </row>
    <row r="605" spans="1:23" x14ac:dyDescent="0.25">
      <c r="A605" s="1" t="s">
        <v>89</v>
      </c>
      <c r="B605" s="1" t="s">
        <v>51</v>
      </c>
      <c r="C605" s="1" t="s">
        <v>408</v>
      </c>
      <c r="D605" s="1" t="s">
        <v>52</v>
      </c>
      <c r="E605" s="1" t="s">
        <v>23</v>
      </c>
      <c r="F605" s="1" t="s">
        <v>17</v>
      </c>
      <c r="G605" s="1" t="s">
        <v>18</v>
      </c>
      <c r="H605" s="1" t="s">
        <v>398</v>
      </c>
      <c r="I605" s="1" t="s">
        <v>19</v>
      </c>
      <c r="J605" s="1" t="s">
        <v>46</v>
      </c>
      <c r="K605" s="1">
        <v>182</v>
      </c>
      <c r="L605" s="1">
        <v>10423</v>
      </c>
      <c r="M605" s="2">
        <f t="shared" si="148"/>
        <v>1896986</v>
      </c>
      <c r="N605" s="1">
        <v>290238.86</v>
      </c>
      <c r="O605" s="1">
        <f t="shared" si="149"/>
        <v>2187224.86</v>
      </c>
      <c r="P605" s="1">
        <v>8698</v>
      </c>
      <c r="Q605" s="1">
        <f t="shared" si="150"/>
        <v>2178526.86</v>
      </c>
      <c r="R605" s="1">
        <f>0.62*U605</f>
        <v>788074.55999999994</v>
      </c>
      <c r="S605" s="1">
        <f>U605*0.2</f>
        <v>254217.60000000001</v>
      </c>
      <c r="T605" s="1">
        <f t="shared" si="152"/>
        <v>228795.84000000008</v>
      </c>
      <c r="U605" s="1">
        <v>1271088</v>
      </c>
      <c r="V605" s="1">
        <f t="shared" si="147"/>
        <v>907438.85999999987</v>
      </c>
      <c r="W605" s="1">
        <v>3.9</v>
      </c>
    </row>
    <row r="606" spans="1:23" x14ac:dyDescent="0.25">
      <c r="A606" s="1" t="s">
        <v>329</v>
      </c>
      <c r="B606" s="1" t="s">
        <v>37</v>
      </c>
      <c r="C606" s="1" t="s">
        <v>408</v>
      </c>
      <c r="D606" s="1" t="s">
        <v>52</v>
      </c>
      <c r="E606" s="1" t="s">
        <v>23</v>
      </c>
      <c r="F606" s="1" t="s">
        <v>59</v>
      </c>
      <c r="G606" s="1" t="s">
        <v>67</v>
      </c>
      <c r="H606" s="1" t="s">
        <v>398</v>
      </c>
      <c r="I606" s="1" t="s">
        <v>39</v>
      </c>
      <c r="J606" s="1" t="s">
        <v>26</v>
      </c>
      <c r="K606" s="1">
        <v>186</v>
      </c>
      <c r="L606" s="1">
        <v>19525</v>
      </c>
      <c r="M606" s="2">
        <f t="shared" si="148"/>
        <v>3631650</v>
      </c>
      <c r="N606" s="1">
        <v>555642.44999999995</v>
      </c>
      <c r="O606" s="1">
        <f t="shared" si="149"/>
        <v>4187292.45</v>
      </c>
      <c r="P606" s="1">
        <v>9504</v>
      </c>
      <c r="Q606" s="1">
        <f t="shared" si="150"/>
        <v>4177788.45</v>
      </c>
      <c r="R606" s="1">
        <f>0.7*U606</f>
        <v>1876832.9999999998</v>
      </c>
      <c r="S606" s="1">
        <f t="shared" si="151"/>
        <v>536238</v>
      </c>
      <c r="T606" s="1">
        <f t="shared" si="152"/>
        <v>268119.00000000023</v>
      </c>
      <c r="U606" s="1">
        <v>2681190</v>
      </c>
      <c r="V606" s="1">
        <f t="shared" si="147"/>
        <v>1496598.4500000002</v>
      </c>
      <c r="W606" s="1">
        <v>3.6</v>
      </c>
    </row>
    <row r="607" spans="1:23" x14ac:dyDescent="0.25">
      <c r="A607" s="1" t="s">
        <v>355</v>
      </c>
      <c r="B607" s="1" t="s">
        <v>41</v>
      </c>
      <c r="C607" s="1" t="s">
        <v>408</v>
      </c>
      <c r="D607" s="1" t="s">
        <v>74</v>
      </c>
      <c r="E607" s="1" t="s">
        <v>56</v>
      </c>
      <c r="F607" s="1" t="s">
        <v>24</v>
      </c>
      <c r="G607" s="1" t="s">
        <v>119</v>
      </c>
      <c r="H607" s="1" t="s">
        <v>399</v>
      </c>
      <c r="I607" s="1" t="s">
        <v>396</v>
      </c>
      <c r="J607" s="1" t="s">
        <v>46</v>
      </c>
      <c r="K607" s="1">
        <v>139</v>
      </c>
      <c r="L607" s="1">
        <v>8472</v>
      </c>
      <c r="M607" s="2">
        <f t="shared" si="148"/>
        <v>1177608</v>
      </c>
      <c r="N607" s="1">
        <v>195011.88</v>
      </c>
      <c r="O607" s="1">
        <f t="shared" si="149"/>
        <v>1372619.88</v>
      </c>
      <c r="P607" s="1">
        <v>9061</v>
      </c>
      <c r="Q607" s="1">
        <f t="shared" si="150"/>
        <v>1363558.88</v>
      </c>
      <c r="R607" s="1">
        <v>597352.5</v>
      </c>
      <c r="S607" s="1">
        <f t="shared" si="151"/>
        <v>159294</v>
      </c>
      <c r="T607" s="1">
        <f t="shared" si="152"/>
        <v>39823.5</v>
      </c>
      <c r="U607" s="1">
        <v>796470</v>
      </c>
      <c r="V607" s="1">
        <f t="shared" si="147"/>
        <v>567088.87999999989</v>
      </c>
      <c r="W607" s="1">
        <v>4.3</v>
      </c>
    </row>
    <row r="608" spans="1:23" x14ac:dyDescent="0.25">
      <c r="A608" s="1" t="s">
        <v>170</v>
      </c>
      <c r="B608" s="1" t="s">
        <v>34</v>
      </c>
      <c r="C608" s="1" t="s">
        <v>408</v>
      </c>
      <c r="D608" s="1" t="s">
        <v>55</v>
      </c>
      <c r="E608" s="1" t="s">
        <v>56</v>
      </c>
      <c r="F608" s="1" t="s">
        <v>59</v>
      </c>
      <c r="G608" s="1" t="s">
        <v>67</v>
      </c>
      <c r="H608" s="1" t="s">
        <v>398</v>
      </c>
      <c r="I608" s="1" t="s">
        <v>39</v>
      </c>
      <c r="J608" s="1" t="s">
        <v>46</v>
      </c>
      <c r="K608" s="1">
        <v>189</v>
      </c>
      <c r="L608" s="1">
        <v>15022</v>
      </c>
      <c r="M608" s="2">
        <f t="shared" si="148"/>
        <v>2839158</v>
      </c>
      <c r="N608" s="1">
        <v>485496.02</v>
      </c>
      <c r="O608" s="1">
        <f t="shared" si="149"/>
        <v>3324654.02</v>
      </c>
      <c r="P608" s="1">
        <v>6733</v>
      </c>
      <c r="Q608" s="1">
        <f t="shared" si="150"/>
        <v>3317921.02</v>
      </c>
      <c r="R608" s="1">
        <f>0.7*U608</f>
        <v>1319957.0999999999</v>
      </c>
      <c r="S608" s="1">
        <f t="shared" si="151"/>
        <v>377130.60000000003</v>
      </c>
      <c r="T608" s="1">
        <f t="shared" si="152"/>
        <v>188565.30000000005</v>
      </c>
      <c r="U608" s="1">
        <v>1885653</v>
      </c>
      <c r="V608" s="1">
        <f t="shared" si="147"/>
        <v>1432268.02</v>
      </c>
      <c r="W608" s="1">
        <v>4.7</v>
      </c>
    </row>
    <row r="609" spans="1:23" x14ac:dyDescent="0.25">
      <c r="A609" s="1" t="s">
        <v>328</v>
      </c>
      <c r="B609" s="1" t="s">
        <v>37</v>
      </c>
      <c r="C609" s="1" t="s">
        <v>408</v>
      </c>
      <c r="D609" s="1" t="s">
        <v>22</v>
      </c>
      <c r="E609" s="1" t="s">
        <v>23</v>
      </c>
      <c r="F609" s="1" t="s">
        <v>24</v>
      </c>
      <c r="G609" s="1" t="s">
        <v>25</v>
      </c>
      <c r="H609" s="1" t="s">
        <v>398</v>
      </c>
      <c r="I609" s="1" t="s">
        <v>395</v>
      </c>
      <c r="J609" s="1" t="s">
        <v>26</v>
      </c>
      <c r="K609" s="1">
        <v>13</v>
      </c>
      <c r="L609" s="1">
        <v>31514</v>
      </c>
      <c r="M609" s="2">
        <f t="shared" si="148"/>
        <v>409682</v>
      </c>
      <c r="N609" s="1">
        <v>64893.63</v>
      </c>
      <c r="O609" s="1">
        <f t="shared" si="149"/>
        <v>474575.63</v>
      </c>
      <c r="P609" s="1">
        <v>9867</v>
      </c>
      <c r="Q609" s="1">
        <f t="shared" si="150"/>
        <v>464708.63</v>
      </c>
      <c r="R609" s="1">
        <v>76625.25</v>
      </c>
      <c r="S609" s="1">
        <f t="shared" si="151"/>
        <v>61300.200000000004</v>
      </c>
      <c r="T609" s="1">
        <f t="shared" si="152"/>
        <v>168575.55</v>
      </c>
      <c r="U609" s="1">
        <v>306501</v>
      </c>
      <c r="V609" s="1">
        <f t="shared" si="147"/>
        <v>158207.63</v>
      </c>
      <c r="W609" s="1">
        <v>3.7</v>
      </c>
    </row>
    <row r="610" spans="1:23" x14ac:dyDescent="0.25">
      <c r="A610" s="1" t="s">
        <v>356</v>
      </c>
      <c r="B610" s="1" t="s">
        <v>32</v>
      </c>
      <c r="C610" s="1" t="s">
        <v>408</v>
      </c>
      <c r="D610" s="1" t="s">
        <v>74</v>
      </c>
      <c r="E610" s="1" t="s">
        <v>56</v>
      </c>
      <c r="F610" s="1" t="s">
        <v>59</v>
      </c>
      <c r="G610" s="1" t="s">
        <v>67</v>
      </c>
      <c r="H610" s="1" t="s">
        <v>398</v>
      </c>
      <c r="I610" s="1" t="s">
        <v>397</v>
      </c>
      <c r="J610" s="1" t="s">
        <v>46</v>
      </c>
      <c r="K610" s="1">
        <v>125</v>
      </c>
      <c r="L610" s="1">
        <v>4767</v>
      </c>
      <c r="M610" s="2">
        <f t="shared" si="148"/>
        <v>595875</v>
      </c>
      <c r="N610" s="1">
        <v>91168.88</v>
      </c>
      <c r="O610" s="1">
        <f t="shared" si="149"/>
        <v>687043.88</v>
      </c>
      <c r="P610" s="1">
        <v>6139</v>
      </c>
      <c r="Q610" s="1">
        <f t="shared" si="150"/>
        <v>680904.88</v>
      </c>
      <c r="R610" s="1">
        <f>0.7*U610</f>
        <v>297412.5</v>
      </c>
      <c r="S610" s="1">
        <f t="shared" si="151"/>
        <v>84975</v>
      </c>
      <c r="T610" s="1">
        <f t="shared" si="152"/>
        <v>42487.5</v>
      </c>
      <c r="U610" s="1">
        <v>424875</v>
      </c>
      <c r="V610" s="1">
        <f t="shared" si="147"/>
        <v>256029.88</v>
      </c>
      <c r="W610" s="1">
        <v>4.2</v>
      </c>
    </row>
    <row r="611" spans="1:23" x14ac:dyDescent="0.25">
      <c r="A611" s="1" t="s">
        <v>141</v>
      </c>
      <c r="B611" s="1" t="s">
        <v>69</v>
      </c>
      <c r="C611" s="1" t="s">
        <v>408</v>
      </c>
      <c r="D611" s="1" t="s">
        <v>48</v>
      </c>
      <c r="E611" s="1" t="s">
        <v>49</v>
      </c>
      <c r="F611" s="1" t="s">
        <v>17</v>
      </c>
      <c r="G611" s="1" t="s">
        <v>72</v>
      </c>
      <c r="H611" s="1" t="s">
        <v>399</v>
      </c>
      <c r="I611" s="1" t="s">
        <v>19</v>
      </c>
      <c r="J611" s="1" t="s">
        <v>26</v>
      </c>
      <c r="K611" s="1">
        <v>56</v>
      </c>
      <c r="L611" s="1">
        <v>32665</v>
      </c>
      <c r="M611" s="2">
        <f t="shared" si="148"/>
        <v>1829240</v>
      </c>
      <c r="N611" s="1">
        <v>329263.2</v>
      </c>
      <c r="O611" s="1">
        <f t="shared" si="149"/>
        <v>2158503.2000000002</v>
      </c>
      <c r="P611" s="1">
        <v>8794</v>
      </c>
      <c r="Q611" s="1">
        <f t="shared" si="150"/>
        <v>2149709.2000000002</v>
      </c>
      <c r="R611" s="1">
        <f>0.62*U611</f>
        <v>780679.2</v>
      </c>
      <c r="S611" s="1">
        <f>U611*0.2</f>
        <v>251832</v>
      </c>
      <c r="T611" s="1">
        <f t="shared" si="152"/>
        <v>226648.80000000005</v>
      </c>
      <c r="U611" s="1">
        <v>1259160</v>
      </c>
      <c r="V611" s="1">
        <f t="shared" si="147"/>
        <v>890549.20000000019</v>
      </c>
      <c r="W611" s="1">
        <v>3.6</v>
      </c>
    </row>
    <row r="612" spans="1:23" x14ac:dyDescent="0.25">
      <c r="A612" s="1" t="s">
        <v>180</v>
      </c>
      <c r="B612" s="1" t="s">
        <v>41</v>
      </c>
      <c r="C612" s="1" t="s">
        <v>408</v>
      </c>
      <c r="D612" s="1" t="s">
        <v>48</v>
      </c>
      <c r="E612" s="1" t="s">
        <v>49</v>
      </c>
      <c r="F612" s="1" t="s">
        <v>59</v>
      </c>
      <c r="G612" s="1" t="s">
        <v>85</v>
      </c>
      <c r="H612" s="1" t="s">
        <v>398</v>
      </c>
      <c r="I612" s="1" t="s">
        <v>395</v>
      </c>
      <c r="J612" s="1" t="s">
        <v>46</v>
      </c>
      <c r="K612" s="1">
        <v>15</v>
      </c>
      <c r="L612" s="1">
        <v>25252</v>
      </c>
      <c r="M612" s="2">
        <f t="shared" si="148"/>
        <v>378780</v>
      </c>
      <c r="N612" s="1">
        <v>59998.75</v>
      </c>
      <c r="O612" s="1">
        <f t="shared" si="149"/>
        <v>438778.75</v>
      </c>
      <c r="P612" s="1">
        <v>7519</v>
      </c>
      <c r="Q612" s="1">
        <f t="shared" si="150"/>
        <v>431259.75</v>
      </c>
      <c r="R612" s="1">
        <f t="shared" ref="R612:R613" si="155">0.7*U612</f>
        <v>166887</v>
      </c>
      <c r="S612" s="1">
        <f t="shared" si="151"/>
        <v>47682</v>
      </c>
      <c r="T612" s="1">
        <f t="shared" si="152"/>
        <v>23841</v>
      </c>
      <c r="U612" s="1">
        <v>238410</v>
      </c>
      <c r="V612" s="1">
        <f t="shared" si="147"/>
        <v>192849.75</v>
      </c>
      <c r="W612" s="1">
        <v>4.3</v>
      </c>
    </row>
    <row r="613" spans="1:23" x14ac:dyDescent="0.25">
      <c r="A613" s="1" t="s">
        <v>139</v>
      </c>
      <c r="B613" s="1" t="s">
        <v>41</v>
      </c>
      <c r="C613" s="1" t="s">
        <v>408</v>
      </c>
      <c r="D613" s="1" t="s">
        <v>48</v>
      </c>
      <c r="E613" s="1" t="s">
        <v>49</v>
      </c>
      <c r="F613" s="1" t="s">
        <v>59</v>
      </c>
      <c r="G613" s="1" t="s">
        <v>85</v>
      </c>
      <c r="H613" s="1" t="s">
        <v>399</v>
      </c>
      <c r="I613" s="1" t="s">
        <v>395</v>
      </c>
      <c r="J613" s="1" t="s">
        <v>26</v>
      </c>
      <c r="K613" s="1">
        <v>75</v>
      </c>
      <c r="L613" s="1">
        <v>25745</v>
      </c>
      <c r="M613" s="2">
        <f t="shared" si="148"/>
        <v>1930875</v>
      </c>
      <c r="N613" s="1">
        <v>347557.5</v>
      </c>
      <c r="O613" s="1">
        <f t="shared" si="149"/>
        <v>2278432.5</v>
      </c>
      <c r="P613" s="1">
        <v>7377</v>
      </c>
      <c r="Q613" s="1">
        <f t="shared" si="150"/>
        <v>2271055.5</v>
      </c>
      <c r="R613" s="1">
        <f t="shared" si="155"/>
        <v>969622.49999999988</v>
      </c>
      <c r="S613" s="1">
        <f t="shared" si="151"/>
        <v>277035</v>
      </c>
      <c r="T613" s="1">
        <f t="shared" si="152"/>
        <v>138517.50000000012</v>
      </c>
      <c r="U613" s="1">
        <v>1385175</v>
      </c>
      <c r="V613" s="1">
        <f t="shared" si="147"/>
        <v>885880.5</v>
      </c>
      <c r="W613" s="1">
        <v>4.4000000000000004</v>
      </c>
    </row>
    <row r="614" spans="1:23" x14ac:dyDescent="0.25">
      <c r="A614" s="1" t="s">
        <v>308</v>
      </c>
      <c r="B614" s="1" t="s">
        <v>69</v>
      </c>
      <c r="C614" s="1" t="s">
        <v>408</v>
      </c>
      <c r="D614" s="1" t="s">
        <v>52</v>
      </c>
      <c r="E614" s="1" t="s">
        <v>23</v>
      </c>
      <c r="F614" s="1" t="s">
        <v>24</v>
      </c>
      <c r="G614" s="1" t="s">
        <v>63</v>
      </c>
      <c r="H614" s="1" t="s">
        <v>399</v>
      </c>
      <c r="I614" s="1" t="s">
        <v>39</v>
      </c>
      <c r="J614" s="1" t="s">
        <v>46</v>
      </c>
      <c r="K614" s="1">
        <v>17</v>
      </c>
      <c r="L614" s="1">
        <v>3546</v>
      </c>
      <c r="M614" s="2">
        <f t="shared" si="148"/>
        <v>60282</v>
      </c>
      <c r="N614" s="1">
        <v>9548.67</v>
      </c>
      <c r="O614" s="1">
        <f t="shared" si="149"/>
        <v>69830.67</v>
      </c>
      <c r="P614" s="1">
        <v>7455</v>
      </c>
      <c r="Q614" s="1">
        <f t="shared" si="150"/>
        <v>62375.67</v>
      </c>
      <c r="R614" s="1">
        <v>10021.5</v>
      </c>
      <c r="S614" s="1">
        <f t="shared" si="151"/>
        <v>8017.2000000000007</v>
      </c>
      <c r="T614" s="1">
        <f t="shared" si="152"/>
        <v>22047.3</v>
      </c>
      <c r="U614" s="1">
        <v>40086</v>
      </c>
      <c r="V614" s="1">
        <f t="shared" si="147"/>
        <v>22289.67</v>
      </c>
      <c r="W614" s="1">
        <v>4.5</v>
      </c>
    </row>
    <row r="615" spans="1:23" x14ac:dyDescent="0.25">
      <c r="A615" s="1" t="s">
        <v>66</v>
      </c>
      <c r="B615" s="1" t="s">
        <v>109</v>
      </c>
      <c r="C615" s="1" t="s">
        <v>408</v>
      </c>
      <c r="D615" s="1" t="s">
        <v>22</v>
      </c>
      <c r="E615" s="1" t="s">
        <v>23</v>
      </c>
      <c r="F615" s="1" t="s">
        <v>17</v>
      </c>
      <c r="G615" s="1" t="s">
        <v>75</v>
      </c>
      <c r="H615" s="1" t="s">
        <v>398</v>
      </c>
      <c r="I615" s="1" t="s">
        <v>19</v>
      </c>
      <c r="J615" s="1" t="s">
        <v>46</v>
      </c>
      <c r="K615" s="1">
        <v>35</v>
      </c>
      <c r="L615" s="1">
        <v>2649</v>
      </c>
      <c r="M615" s="2">
        <f t="shared" si="148"/>
        <v>92715</v>
      </c>
      <c r="N615" s="1">
        <v>15353.6</v>
      </c>
      <c r="O615" s="1">
        <f t="shared" si="149"/>
        <v>108068.6</v>
      </c>
      <c r="P615" s="1">
        <v>8190</v>
      </c>
      <c r="Q615" s="1">
        <f t="shared" si="150"/>
        <v>99878.6</v>
      </c>
      <c r="R615" s="1">
        <f>0.62*U615</f>
        <v>41707.4</v>
      </c>
      <c r="S615" s="1">
        <f>U615*0.2</f>
        <v>13454</v>
      </c>
      <c r="T615" s="1">
        <f t="shared" si="152"/>
        <v>12108.599999999999</v>
      </c>
      <c r="U615" s="1">
        <v>67270</v>
      </c>
      <c r="V615" s="1">
        <f t="shared" si="147"/>
        <v>32608.600000000006</v>
      </c>
      <c r="W615" s="1">
        <v>3.9</v>
      </c>
    </row>
    <row r="616" spans="1:23" x14ac:dyDescent="0.25">
      <c r="A616" s="1" t="s">
        <v>118</v>
      </c>
      <c r="B616" s="1" t="s">
        <v>109</v>
      </c>
      <c r="C616" s="1" t="s">
        <v>408</v>
      </c>
      <c r="D616" s="1" t="s">
        <v>15</v>
      </c>
      <c r="E616" s="1" t="s">
        <v>16</v>
      </c>
      <c r="F616" s="1" t="s">
        <v>24</v>
      </c>
      <c r="G616" s="1" t="s">
        <v>25</v>
      </c>
      <c r="H616" s="1" t="s">
        <v>399</v>
      </c>
      <c r="I616" s="1" t="s">
        <v>396</v>
      </c>
      <c r="J616" s="1" t="s">
        <v>26</v>
      </c>
      <c r="K616" s="1">
        <v>15</v>
      </c>
      <c r="L616" s="1">
        <v>7341</v>
      </c>
      <c r="M616" s="2">
        <f t="shared" si="148"/>
        <v>110115</v>
      </c>
      <c r="N616" s="1">
        <v>18829.669999999998</v>
      </c>
      <c r="O616" s="1">
        <f t="shared" si="149"/>
        <v>128944.67</v>
      </c>
      <c r="P616" s="1">
        <v>6728</v>
      </c>
      <c r="Q616" s="1">
        <f t="shared" si="150"/>
        <v>122216.67</v>
      </c>
      <c r="R616" s="1">
        <v>55383.75</v>
      </c>
      <c r="S616" s="1">
        <f t="shared" si="151"/>
        <v>14769</v>
      </c>
      <c r="T616" s="1">
        <f t="shared" si="152"/>
        <v>3692.25</v>
      </c>
      <c r="U616" s="1">
        <v>73845</v>
      </c>
      <c r="V616" s="1">
        <f t="shared" si="147"/>
        <v>48371.67</v>
      </c>
      <c r="W616" s="1">
        <v>4</v>
      </c>
    </row>
    <row r="617" spans="1:23" x14ac:dyDescent="0.25">
      <c r="A617" s="1" t="s">
        <v>84</v>
      </c>
      <c r="B617" s="1" t="s">
        <v>21</v>
      </c>
      <c r="C617" s="1" t="s">
        <v>408</v>
      </c>
      <c r="D617" s="1" t="s">
        <v>78</v>
      </c>
      <c r="E617" s="1" t="s">
        <v>49</v>
      </c>
      <c r="F617" s="1" t="s">
        <v>29</v>
      </c>
      <c r="G617" s="1" t="s">
        <v>53</v>
      </c>
      <c r="H617" s="1" t="s">
        <v>399</v>
      </c>
      <c r="I617" s="1" t="s">
        <v>39</v>
      </c>
      <c r="J617" s="1" t="s">
        <v>46</v>
      </c>
      <c r="K617" s="1">
        <v>115</v>
      </c>
      <c r="L617" s="1">
        <v>10145</v>
      </c>
      <c r="M617" s="2">
        <f t="shared" si="148"/>
        <v>1166675</v>
      </c>
      <c r="N617" s="1">
        <v>199501.42</v>
      </c>
      <c r="O617" s="1">
        <f t="shared" si="149"/>
        <v>1366176.42</v>
      </c>
      <c r="P617" s="1">
        <v>6978</v>
      </c>
      <c r="Q617" s="1">
        <f t="shared" si="150"/>
        <v>1359198.42</v>
      </c>
      <c r="R617" s="1">
        <v>187047.5</v>
      </c>
      <c r="S617" s="1">
        <f>U617*0.1</f>
        <v>74819</v>
      </c>
      <c r="T617" s="1">
        <f t="shared" si="152"/>
        <v>486323.5</v>
      </c>
      <c r="U617" s="1">
        <v>748190</v>
      </c>
      <c r="V617" s="1">
        <f t="shared" si="147"/>
        <v>611008.41999999993</v>
      </c>
      <c r="W617" s="1">
        <v>4.4000000000000004</v>
      </c>
    </row>
    <row r="618" spans="1:23" x14ac:dyDescent="0.25">
      <c r="A618" s="1" t="s">
        <v>357</v>
      </c>
      <c r="B618" s="1" t="s">
        <v>77</v>
      </c>
      <c r="C618" s="1" t="s">
        <v>408</v>
      </c>
      <c r="D618" s="1" t="s">
        <v>74</v>
      </c>
      <c r="E618" s="1" t="s">
        <v>56</v>
      </c>
      <c r="F618" s="1" t="s">
        <v>24</v>
      </c>
      <c r="G618" s="1" t="s">
        <v>44</v>
      </c>
      <c r="H618" s="1" t="s">
        <v>399</v>
      </c>
      <c r="I618" s="1" t="s">
        <v>39</v>
      </c>
      <c r="J618" s="1" t="s">
        <v>26</v>
      </c>
      <c r="K618" s="1">
        <v>76</v>
      </c>
      <c r="L618" s="1">
        <v>13325</v>
      </c>
      <c r="M618" s="2">
        <f t="shared" si="148"/>
        <v>1012700</v>
      </c>
      <c r="N618" s="1">
        <v>173171.7</v>
      </c>
      <c r="O618" s="1">
        <f t="shared" si="149"/>
        <v>1185871.7</v>
      </c>
      <c r="P618" s="1">
        <v>7089</v>
      </c>
      <c r="Q618" s="1">
        <f t="shared" si="150"/>
        <v>1178782.7</v>
      </c>
      <c r="R618" s="1">
        <v>340822</v>
      </c>
      <c r="S618" s="1">
        <f t="shared" si="151"/>
        <v>136328.80000000002</v>
      </c>
      <c r="T618" s="1">
        <f t="shared" si="152"/>
        <v>204493.19999999995</v>
      </c>
      <c r="U618" s="1">
        <v>681644</v>
      </c>
      <c r="V618" s="1">
        <f t="shared" si="147"/>
        <v>497138.69999999995</v>
      </c>
      <c r="W618" s="1">
        <v>4.8</v>
      </c>
    </row>
    <row r="619" spans="1:23" x14ac:dyDescent="0.25">
      <c r="A619" s="1" t="s">
        <v>221</v>
      </c>
      <c r="B619" s="1" t="s">
        <v>58</v>
      </c>
      <c r="C619" s="1" t="s">
        <v>408</v>
      </c>
      <c r="D619" s="1" t="s">
        <v>22</v>
      </c>
      <c r="E619" s="1" t="s">
        <v>23</v>
      </c>
      <c r="F619" s="1" t="s">
        <v>17</v>
      </c>
      <c r="G619" s="1" t="s">
        <v>72</v>
      </c>
      <c r="H619" s="1" t="s">
        <v>399</v>
      </c>
      <c r="I619" s="1" t="s">
        <v>19</v>
      </c>
      <c r="J619" s="1" t="s">
        <v>26</v>
      </c>
      <c r="K619" s="1">
        <v>158</v>
      </c>
      <c r="L619" s="1">
        <v>11464</v>
      </c>
      <c r="M619" s="2">
        <f t="shared" si="148"/>
        <v>1811312</v>
      </c>
      <c r="N619" s="1">
        <v>299953.27</v>
      </c>
      <c r="O619" s="1">
        <f t="shared" si="149"/>
        <v>2111265.27</v>
      </c>
      <c r="P619" s="1">
        <v>6252</v>
      </c>
      <c r="Q619" s="1">
        <f t="shared" si="150"/>
        <v>2105013.27</v>
      </c>
      <c r="R619" s="1">
        <f>0.62*U619</f>
        <v>797590.32</v>
      </c>
      <c r="S619" s="1">
        <f>U619*0.2</f>
        <v>257287.2</v>
      </c>
      <c r="T619" s="1">
        <f t="shared" si="152"/>
        <v>231558.4800000001</v>
      </c>
      <c r="U619" s="1">
        <v>1286436</v>
      </c>
      <c r="V619" s="1">
        <f t="shared" si="147"/>
        <v>818577.27</v>
      </c>
      <c r="W619" s="1">
        <v>4.9000000000000004</v>
      </c>
    </row>
    <row r="620" spans="1:23" x14ac:dyDescent="0.25">
      <c r="A620" s="1" t="s">
        <v>310</v>
      </c>
      <c r="B620" s="1" t="s">
        <v>77</v>
      </c>
      <c r="C620" s="1" t="s">
        <v>408</v>
      </c>
      <c r="D620" s="1" t="s">
        <v>55</v>
      </c>
      <c r="E620" s="1" t="s">
        <v>56</v>
      </c>
      <c r="F620" s="1" t="s">
        <v>29</v>
      </c>
      <c r="G620" s="1" t="s">
        <v>30</v>
      </c>
      <c r="H620" s="1" t="s">
        <v>399</v>
      </c>
      <c r="I620" s="1" t="s">
        <v>19</v>
      </c>
      <c r="J620" s="1" t="s">
        <v>26</v>
      </c>
      <c r="K620" s="1">
        <v>46</v>
      </c>
      <c r="L620" s="1">
        <v>32942</v>
      </c>
      <c r="M620" s="2">
        <f t="shared" si="148"/>
        <v>1515332</v>
      </c>
      <c r="N620" s="1">
        <v>240028.59</v>
      </c>
      <c r="O620" s="1">
        <f t="shared" si="149"/>
        <v>1755360.59</v>
      </c>
      <c r="P620" s="1">
        <v>9078</v>
      </c>
      <c r="Q620" s="1">
        <f t="shared" si="150"/>
        <v>1746282.59</v>
      </c>
      <c r="R620" s="1">
        <v>771765</v>
      </c>
      <c r="S620" s="1">
        <f>U620*0.1</f>
        <v>102902</v>
      </c>
      <c r="T620" s="1">
        <f t="shared" si="152"/>
        <v>154353</v>
      </c>
      <c r="U620" s="1">
        <v>1029020</v>
      </c>
      <c r="V620" s="1">
        <f t="shared" si="147"/>
        <v>717262.59000000008</v>
      </c>
      <c r="W620" s="1">
        <v>4.5</v>
      </c>
    </row>
    <row r="621" spans="1:23" x14ac:dyDescent="0.25">
      <c r="A621" s="1" t="s">
        <v>287</v>
      </c>
      <c r="B621" s="1" t="s">
        <v>32</v>
      </c>
      <c r="C621" s="1" t="s">
        <v>408</v>
      </c>
      <c r="D621" s="1" t="s">
        <v>78</v>
      </c>
      <c r="E621" s="1" t="s">
        <v>49</v>
      </c>
      <c r="F621" s="1" t="s">
        <v>24</v>
      </c>
      <c r="G621" s="1" t="s">
        <v>119</v>
      </c>
      <c r="H621" s="1" t="s">
        <v>399</v>
      </c>
      <c r="I621" s="1" t="s">
        <v>396</v>
      </c>
      <c r="J621" s="1" t="s">
        <v>46</v>
      </c>
      <c r="K621" s="1">
        <v>193</v>
      </c>
      <c r="L621" s="1">
        <v>28754</v>
      </c>
      <c r="M621" s="2">
        <f t="shared" si="148"/>
        <v>5549522</v>
      </c>
      <c r="N621" s="1">
        <v>849076.87</v>
      </c>
      <c r="O621" s="1">
        <f t="shared" si="149"/>
        <v>6398598.8700000001</v>
      </c>
      <c r="P621" s="1">
        <v>5551</v>
      </c>
      <c r="Q621" s="1">
        <f t="shared" si="150"/>
        <v>6393047.8700000001</v>
      </c>
      <c r="R621" s="1">
        <v>2140273.5</v>
      </c>
      <c r="S621" s="1">
        <f t="shared" si="151"/>
        <v>856109.4</v>
      </c>
      <c r="T621" s="1">
        <f t="shared" si="152"/>
        <v>1284164.1000000001</v>
      </c>
      <c r="U621" s="1">
        <v>4280547</v>
      </c>
      <c r="V621" s="1">
        <f t="shared" si="147"/>
        <v>2112500.87</v>
      </c>
      <c r="W621" s="1">
        <v>3.5</v>
      </c>
    </row>
    <row r="622" spans="1:23" x14ac:dyDescent="0.25">
      <c r="A622" s="1" t="s">
        <v>134</v>
      </c>
      <c r="B622" s="1" t="s">
        <v>37</v>
      </c>
      <c r="C622" s="1" t="s">
        <v>408</v>
      </c>
      <c r="D622" s="1" t="s">
        <v>48</v>
      </c>
      <c r="E622" s="1" t="s">
        <v>49</v>
      </c>
      <c r="F622" s="1" t="s">
        <v>29</v>
      </c>
      <c r="G622" s="1" t="s">
        <v>87</v>
      </c>
      <c r="H622" s="1" t="s">
        <v>399</v>
      </c>
      <c r="I622" s="1" t="s">
        <v>19</v>
      </c>
      <c r="J622" s="1" t="s">
        <v>26</v>
      </c>
      <c r="K622" s="1">
        <v>56</v>
      </c>
      <c r="L622" s="1">
        <v>28105</v>
      </c>
      <c r="M622" s="2">
        <f t="shared" si="148"/>
        <v>1573880</v>
      </c>
      <c r="N622" s="1">
        <v>283298.40000000002</v>
      </c>
      <c r="O622" s="1">
        <f t="shared" si="149"/>
        <v>1857178.4</v>
      </c>
      <c r="P622" s="1">
        <v>7368</v>
      </c>
      <c r="Q622" s="1">
        <f t="shared" si="150"/>
        <v>1849810.4</v>
      </c>
      <c r="R622" s="1">
        <v>600936</v>
      </c>
      <c r="S622" s="1">
        <f>U622*0.1</f>
        <v>120187.20000000001</v>
      </c>
      <c r="T622" s="1">
        <f t="shared" si="152"/>
        <v>480748.80000000005</v>
      </c>
      <c r="U622" s="1">
        <v>1201872</v>
      </c>
      <c r="V622" s="1">
        <f t="shared" si="147"/>
        <v>647938.39999999991</v>
      </c>
      <c r="W622" s="1">
        <v>4.9000000000000004</v>
      </c>
    </row>
    <row r="623" spans="1:23" x14ac:dyDescent="0.25">
      <c r="A623" s="1" t="s">
        <v>312</v>
      </c>
      <c r="B623" s="1" t="s">
        <v>41</v>
      </c>
      <c r="C623" s="1" t="s">
        <v>408</v>
      </c>
      <c r="D623" s="1" t="s">
        <v>22</v>
      </c>
      <c r="E623" s="1" t="s">
        <v>23</v>
      </c>
      <c r="F623" s="1" t="s">
        <v>59</v>
      </c>
      <c r="G623" s="1" t="s">
        <v>103</v>
      </c>
      <c r="H623" s="1" t="s">
        <v>399</v>
      </c>
      <c r="I623" s="1" t="s">
        <v>19</v>
      </c>
      <c r="J623" s="1" t="s">
        <v>26</v>
      </c>
      <c r="K623" s="1">
        <v>69</v>
      </c>
      <c r="L623" s="1">
        <v>31226</v>
      </c>
      <c r="M623" s="2">
        <f t="shared" si="148"/>
        <v>2154594</v>
      </c>
      <c r="N623" s="1">
        <v>356800.77</v>
      </c>
      <c r="O623" s="1">
        <f t="shared" si="149"/>
        <v>2511394.77</v>
      </c>
      <c r="P623" s="1">
        <v>5445</v>
      </c>
      <c r="Q623" s="1">
        <f t="shared" si="150"/>
        <v>2505949.77</v>
      </c>
      <c r="R623" s="1">
        <f t="shared" ref="R623:R624" si="156">0.7*U623</f>
        <v>1143261</v>
      </c>
      <c r="S623" s="1">
        <f t="shared" si="151"/>
        <v>326646</v>
      </c>
      <c r="T623" s="1">
        <f t="shared" si="152"/>
        <v>163323</v>
      </c>
      <c r="U623" s="1">
        <v>1633230</v>
      </c>
      <c r="V623" s="1">
        <f t="shared" si="147"/>
        <v>872719.77</v>
      </c>
      <c r="W623" s="1">
        <v>4.7</v>
      </c>
    </row>
    <row r="624" spans="1:23" x14ac:dyDescent="0.25">
      <c r="A624" s="1" t="s">
        <v>358</v>
      </c>
      <c r="B624" s="1" t="s">
        <v>32</v>
      </c>
      <c r="C624" s="1" t="s">
        <v>408</v>
      </c>
      <c r="D624" s="1" t="s">
        <v>15</v>
      </c>
      <c r="E624" s="1" t="s">
        <v>16</v>
      </c>
      <c r="F624" s="1" t="s">
        <v>59</v>
      </c>
      <c r="G624" s="1" t="s">
        <v>121</v>
      </c>
      <c r="H624" s="1" t="s">
        <v>398</v>
      </c>
      <c r="I624" s="1" t="s">
        <v>19</v>
      </c>
      <c r="J624" s="1" t="s">
        <v>26</v>
      </c>
      <c r="K624" s="1">
        <v>63</v>
      </c>
      <c r="L624" s="1">
        <v>6974</v>
      </c>
      <c r="M624" s="2">
        <f t="shared" si="148"/>
        <v>439362</v>
      </c>
      <c r="N624" s="1">
        <v>75130.899999999994</v>
      </c>
      <c r="O624" s="1">
        <f t="shared" si="149"/>
        <v>514492.9</v>
      </c>
      <c r="P624" s="1">
        <v>9276</v>
      </c>
      <c r="Q624" s="1">
        <f t="shared" si="150"/>
        <v>505216.9</v>
      </c>
      <c r="R624" s="1">
        <f t="shared" si="156"/>
        <v>223939.8</v>
      </c>
      <c r="S624" s="1">
        <f t="shared" si="151"/>
        <v>63982.8</v>
      </c>
      <c r="T624" s="1">
        <f t="shared" si="152"/>
        <v>31991.400000000023</v>
      </c>
      <c r="U624" s="1">
        <v>319914</v>
      </c>
      <c r="V624" s="1">
        <f t="shared" si="147"/>
        <v>185302.90000000002</v>
      </c>
      <c r="W624" s="1">
        <v>4.4000000000000004</v>
      </c>
    </row>
    <row r="625" spans="1:23" x14ac:dyDescent="0.25">
      <c r="A625" s="1" t="s">
        <v>256</v>
      </c>
      <c r="B625" s="1" t="s">
        <v>37</v>
      </c>
      <c r="C625" s="1" t="s">
        <v>408</v>
      </c>
      <c r="D625" s="1" t="s">
        <v>52</v>
      </c>
      <c r="E625" s="1" t="s">
        <v>23</v>
      </c>
      <c r="F625" s="1" t="s">
        <v>24</v>
      </c>
      <c r="G625" s="1" t="s">
        <v>63</v>
      </c>
      <c r="H625" s="1" t="s">
        <v>398</v>
      </c>
      <c r="I625" s="1" t="s">
        <v>19</v>
      </c>
      <c r="J625" s="1" t="s">
        <v>46</v>
      </c>
      <c r="K625" s="1">
        <v>21</v>
      </c>
      <c r="L625" s="1">
        <v>32482</v>
      </c>
      <c r="M625" s="2">
        <f t="shared" si="148"/>
        <v>682122</v>
      </c>
      <c r="N625" s="1">
        <v>116642.86</v>
      </c>
      <c r="O625" s="1">
        <f t="shared" si="149"/>
        <v>798764.86</v>
      </c>
      <c r="P625" s="1">
        <v>7083</v>
      </c>
      <c r="Q625" s="1">
        <f t="shared" si="150"/>
        <v>791681.86</v>
      </c>
      <c r="R625" s="1">
        <v>362958.75</v>
      </c>
      <c r="S625" s="1">
        <f t="shared" si="151"/>
        <v>96789</v>
      </c>
      <c r="T625" s="1">
        <f t="shared" si="152"/>
        <v>24197.25</v>
      </c>
      <c r="U625" s="1">
        <v>483945</v>
      </c>
      <c r="V625" s="1">
        <f t="shared" si="147"/>
        <v>307736.86</v>
      </c>
      <c r="W625" s="1">
        <v>4.7</v>
      </c>
    </row>
    <row r="626" spans="1:23" x14ac:dyDescent="0.25">
      <c r="A626" s="1" t="s">
        <v>96</v>
      </c>
      <c r="B626" s="1" t="s">
        <v>28</v>
      </c>
      <c r="C626" s="1" t="s">
        <v>408</v>
      </c>
      <c r="D626" s="1" t="s">
        <v>55</v>
      </c>
      <c r="E626" s="1" t="s">
        <v>56</v>
      </c>
      <c r="F626" s="1" t="s">
        <v>17</v>
      </c>
      <c r="G626" s="1" t="s">
        <v>35</v>
      </c>
      <c r="H626" s="1" t="s">
        <v>398</v>
      </c>
      <c r="I626" s="1" t="s">
        <v>39</v>
      </c>
      <c r="J626" s="1" t="s">
        <v>26</v>
      </c>
      <c r="K626" s="1">
        <v>177</v>
      </c>
      <c r="L626" s="1">
        <v>3323</v>
      </c>
      <c r="M626" s="2">
        <f t="shared" si="148"/>
        <v>588171</v>
      </c>
      <c r="N626" s="1">
        <v>89990.16</v>
      </c>
      <c r="O626" s="1">
        <f t="shared" si="149"/>
        <v>678161.16</v>
      </c>
      <c r="P626" s="1">
        <v>6438</v>
      </c>
      <c r="Q626" s="1">
        <f t="shared" si="150"/>
        <v>671723.16</v>
      </c>
      <c r="R626" s="1">
        <f>0.62*U626</f>
        <v>238794.23999999999</v>
      </c>
      <c r="S626" s="1">
        <f>U626*0.2</f>
        <v>77030.400000000009</v>
      </c>
      <c r="T626" s="1">
        <f t="shared" si="152"/>
        <v>69327.359999999986</v>
      </c>
      <c r="U626" s="1">
        <v>385152</v>
      </c>
      <c r="V626" s="1">
        <f t="shared" si="147"/>
        <v>286571.16000000003</v>
      </c>
      <c r="W626" s="1">
        <v>3.5</v>
      </c>
    </row>
    <row r="627" spans="1:23" x14ac:dyDescent="0.25">
      <c r="A627" s="1" t="s">
        <v>191</v>
      </c>
      <c r="B627" s="1" t="s">
        <v>32</v>
      </c>
      <c r="C627" s="1" t="s">
        <v>408</v>
      </c>
      <c r="D627" s="1" t="s">
        <v>42</v>
      </c>
      <c r="E627" s="1" t="s">
        <v>43</v>
      </c>
      <c r="F627" s="1" t="s">
        <v>59</v>
      </c>
      <c r="G627" s="1" t="s">
        <v>121</v>
      </c>
      <c r="H627" s="1" t="s">
        <v>398</v>
      </c>
      <c r="I627" s="1" t="s">
        <v>396</v>
      </c>
      <c r="J627" s="1" t="s">
        <v>46</v>
      </c>
      <c r="K627" s="1">
        <v>25</v>
      </c>
      <c r="L627" s="1">
        <v>7136</v>
      </c>
      <c r="M627" s="2">
        <f t="shared" si="148"/>
        <v>178400</v>
      </c>
      <c r="N627" s="1">
        <v>28258.560000000001</v>
      </c>
      <c r="O627" s="1">
        <f t="shared" si="149"/>
        <v>206658.56</v>
      </c>
      <c r="P627" s="1">
        <v>9062</v>
      </c>
      <c r="Q627" s="1">
        <f t="shared" si="150"/>
        <v>197596.56</v>
      </c>
      <c r="R627" s="1">
        <f t="shared" ref="R627:R628" si="157">0.7*U627</f>
        <v>90807.5</v>
      </c>
      <c r="S627" s="1">
        <f t="shared" si="151"/>
        <v>25945</v>
      </c>
      <c r="T627" s="1">
        <f t="shared" si="152"/>
        <v>12972.5</v>
      </c>
      <c r="U627" s="1">
        <v>129725</v>
      </c>
      <c r="V627" s="1">
        <f t="shared" si="147"/>
        <v>67871.56</v>
      </c>
      <c r="W627" s="1">
        <v>4.2</v>
      </c>
    </row>
    <row r="628" spans="1:23" x14ac:dyDescent="0.25">
      <c r="A628" s="1" t="s">
        <v>76</v>
      </c>
      <c r="B628" s="1" t="s">
        <v>77</v>
      </c>
      <c r="C628" s="1" t="s">
        <v>408</v>
      </c>
      <c r="D628" s="1" t="s">
        <v>78</v>
      </c>
      <c r="E628" s="1" t="s">
        <v>49</v>
      </c>
      <c r="F628" s="1" t="s">
        <v>59</v>
      </c>
      <c r="G628" s="1" t="s">
        <v>103</v>
      </c>
      <c r="H628" s="1" t="s">
        <v>399</v>
      </c>
      <c r="I628" s="1" t="s">
        <v>396</v>
      </c>
      <c r="J628" s="1" t="s">
        <v>46</v>
      </c>
      <c r="K628" s="1">
        <v>49</v>
      </c>
      <c r="L628" s="1">
        <v>36654</v>
      </c>
      <c r="M628" s="2">
        <f t="shared" si="148"/>
        <v>1796046</v>
      </c>
      <c r="N628" s="1">
        <v>323288.28000000003</v>
      </c>
      <c r="O628" s="1">
        <f t="shared" si="149"/>
        <v>2119334.2800000003</v>
      </c>
      <c r="P628" s="1">
        <v>7685</v>
      </c>
      <c r="Q628" s="1">
        <f t="shared" si="150"/>
        <v>2111649.2800000003</v>
      </c>
      <c r="R628" s="1">
        <f t="shared" si="157"/>
        <v>815036.6</v>
      </c>
      <c r="S628" s="1">
        <f t="shared" si="151"/>
        <v>232867.6</v>
      </c>
      <c r="T628" s="1">
        <f t="shared" si="152"/>
        <v>116433.80000000005</v>
      </c>
      <c r="U628" s="1">
        <v>1164338</v>
      </c>
      <c r="V628" s="1">
        <f t="shared" si="147"/>
        <v>947311.28000000026</v>
      </c>
      <c r="W628" s="1">
        <v>4.5</v>
      </c>
    </row>
    <row r="629" spans="1:23" x14ac:dyDescent="0.25">
      <c r="A629" s="1" t="s">
        <v>256</v>
      </c>
      <c r="B629" s="1" t="s">
        <v>37</v>
      </c>
      <c r="C629" s="1" t="s">
        <v>408</v>
      </c>
      <c r="D629" s="1" t="s">
        <v>74</v>
      </c>
      <c r="E629" s="1" t="s">
        <v>56</v>
      </c>
      <c r="F629" s="1" t="s">
        <v>29</v>
      </c>
      <c r="G629" s="1" t="s">
        <v>91</v>
      </c>
      <c r="H629" s="1" t="s">
        <v>398</v>
      </c>
      <c r="I629" s="1" t="s">
        <v>19</v>
      </c>
      <c r="J629" s="1" t="s">
        <v>26</v>
      </c>
      <c r="K629" s="1">
        <v>107</v>
      </c>
      <c r="L629" s="1">
        <v>11661</v>
      </c>
      <c r="M629" s="2">
        <f t="shared" si="148"/>
        <v>1247727</v>
      </c>
      <c r="N629" s="1">
        <v>224590.86</v>
      </c>
      <c r="O629" s="1">
        <f t="shared" si="149"/>
        <v>1472317.8599999999</v>
      </c>
      <c r="P629" s="1">
        <v>6357</v>
      </c>
      <c r="Q629" s="1">
        <f t="shared" si="150"/>
        <v>1465960.8599999999</v>
      </c>
      <c r="R629" s="1">
        <v>451968</v>
      </c>
      <c r="S629" s="1">
        <f>U629*0.1</f>
        <v>90393.600000000006</v>
      </c>
      <c r="T629" s="1">
        <f t="shared" si="152"/>
        <v>361574.40000000002</v>
      </c>
      <c r="U629" s="1">
        <v>903936</v>
      </c>
      <c r="V629" s="1">
        <f t="shared" si="147"/>
        <v>562024.85999999987</v>
      </c>
      <c r="W629" s="1">
        <v>4.3</v>
      </c>
    </row>
    <row r="630" spans="1:23" x14ac:dyDescent="0.25">
      <c r="A630" s="1" t="s">
        <v>174</v>
      </c>
      <c r="B630" s="1" t="s">
        <v>77</v>
      </c>
      <c r="C630" s="1" t="s">
        <v>408</v>
      </c>
      <c r="D630" s="1" t="s">
        <v>52</v>
      </c>
      <c r="E630" s="1" t="s">
        <v>23</v>
      </c>
      <c r="F630" s="1" t="s">
        <v>59</v>
      </c>
      <c r="G630" s="1" t="s">
        <v>67</v>
      </c>
      <c r="H630" s="1" t="s">
        <v>399</v>
      </c>
      <c r="I630" s="1" t="s">
        <v>395</v>
      </c>
      <c r="J630" s="1" t="s">
        <v>26</v>
      </c>
      <c r="K630" s="1">
        <v>140</v>
      </c>
      <c r="L630" s="1">
        <v>18046</v>
      </c>
      <c r="M630" s="2">
        <f t="shared" si="148"/>
        <v>2526440</v>
      </c>
      <c r="N630" s="1">
        <v>432021.24</v>
      </c>
      <c r="O630" s="1">
        <f t="shared" si="149"/>
        <v>2958461.24</v>
      </c>
      <c r="P630" s="1">
        <v>6412</v>
      </c>
      <c r="Q630" s="1">
        <f t="shared" si="150"/>
        <v>2952049.24</v>
      </c>
      <c r="R630" s="1">
        <f>0.7*U630</f>
        <v>1384054</v>
      </c>
      <c r="S630" s="1">
        <f t="shared" si="151"/>
        <v>395444</v>
      </c>
      <c r="T630" s="1">
        <f t="shared" si="152"/>
        <v>197722</v>
      </c>
      <c r="U630" s="1">
        <v>1977220</v>
      </c>
      <c r="V630" s="1">
        <f t="shared" si="147"/>
        <v>974829.24000000022</v>
      </c>
      <c r="W630" s="1">
        <v>4.0999999999999996</v>
      </c>
    </row>
    <row r="631" spans="1:23" x14ac:dyDescent="0.25">
      <c r="A631" s="1" t="s">
        <v>27</v>
      </c>
      <c r="B631" s="1" t="s">
        <v>69</v>
      </c>
      <c r="C631" s="1" t="s">
        <v>408</v>
      </c>
      <c r="D631" s="1" t="s">
        <v>22</v>
      </c>
      <c r="E631" s="1" t="s">
        <v>23</v>
      </c>
      <c r="F631" s="1" t="s">
        <v>24</v>
      </c>
      <c r="G631" s="1" t="s">
        <v>44</v>
      </c>
      <c r="H631" s="1" t="s">
        <v>398</v>
      </c>
      <c r="I631" s="1" t="s">
        <v>39</v>
      </c>
      <c r="J631" s="1" t="s">
        <v>46</v>
      </c>
      <c r="K631" s="1">
        <v>149</v>
      </c>
      <c r="L631" s="1">
        <v>19682</v>
      </c>
      <c r="M631" s="2">
        <f t="shared" si="148"/>
        <v>2932618</v>
      </c>
      <c r="N631" s="1">
        <v>448690.55</v>
      </c>
      <c r="O631" s="1">
        <f t="shared" si="149"/>
        <v>3381308.55</v>
      </c>
      <c r="P631" s="1">
        <v>8390</v>
      </c>
      <c r="Q631" s="1">
        <f t="shared" si="150"/>
        <v>3372918.55</v>
      </c>
      <c r="R631" s="1">
        <v>1610541</v>
      </c>
      <c r="S631" s="1">
        <f t="shared" si="151"/>
        <v>429477.60000000003</v>
      </c>
      <c r="T631" s="1">
        <f t="shared" si="152"/>
        <v>107369.39999999991</v>
      </c>
      <c r="U631" s="1">
        <v>2147388</v>
      </c>
      <c r="V631" s="1">
        <f t="shared" si="147"/>
        <v>1225530.5499999998</v>
      </c>
      <c r="W631" s="1">
        <v>4.7</v>
      </c>
    </row>
    <row r="632" spans="1:23" x14ac:dyDescent="0.25">
      <c r="A632" s="1" t="s">
        <v>306</v>
      </c>
      <c r="B632" s="1" t="s">
        <v>28</v>
      </c>
      <c r="C632" s="1" t="s">
        <v>408</v>
      </c>
      <c r="D632" s="1" t="s">
        <v>22</v>
      </c>
      <c r="E632" s="1" t="s">
        <v>23</v>
      </c>
      <c r="F632" s="1" t="s">
        <v>59</v>
      </c>
      <c r="G632" s="1" t="s">
        <v>85</v>
      </c>
      <c r="H632" s="1" t="s">
        <v>398</v>
      </c>
      <c r="I632" s="1" t="s">
        <v>19</v>
      </c>
      <c r="J632" s="1" t="s">
        <v>46</v>
      </c>
      <c r="K632" s="1">
        <v>82</v>
      </c>
      <c r="L632" s="1">
        <v>27132</v>
      </c>
      <c r="M632" s="2">
        <f t="shared" si="148"/>
        <v>2224824</v>
      </c>
      <c r="N632" s="1">
        <v>400468.32</v>
      </c>
      <c r="O632" s="1">
        <f t="shared" si="149"/>
        <v>2625292.3199999998</v>
      </c>
      <c r="P632" s="1">
        <v>8919</v>
      </c>
      <c r="Q632" s="1">
        <f t="shared" si="150"/>
        <v>2616373.3199999998</v>
      </c>
      <c r="R632" s="1">
        <f>0.7*U632</f>
        <v>1143006.2</v>
      </c>
      <c r="S632" s="1">
        <f t="shared" si="151"/>
        <v>326573.2</v>
      </c>
      <c r="T632" s="1">
        <f t="shared" si="152"/>
        <v>163286.60000000009</v>
      </c>
      <c r="U632" s="1">
        <v>1632866</v>
      </c>
      <c r="V632" s="1">
        <f t="shared" si="147"/>
        <v>983507.31999999983</v>
      </c>
      <c r="W632" s="1">
        <v>4</v>
      </c>
    </row>
    <row r="633" spans="1:23" x14ac:dyDescent="0.25">
      <c r="A633" s="1" t="s">
        <v>205</v>
      </c>
      <c r="B633" s="1" t="s">
        <v>34</v>
      </c>
      <c r="C633" s="1" t="s">
        <v>408</v>
      </c>
      <c r="D633" s="1" t="s">
        <v>78</v>
      </c>
      <c r="E633" s="1" t="s">
        <v>49</v>
      </c>
      <c r="F633" s="1" t="s">
        <v>17</v>
      </c>
      <c r="G633" s="1" t="s">
        <v>72</v>
      </c>
      <c r="H633" s="1" t="s">
        <v>398</v>
      </c>
      <c r="I633" s="1" t="s">
        <v>395</v>
      </c>
      <c r="J633" s="1" t="s">
        <v>46</v>
      </c>
      <c r="K633" s="1">
        <v>63</v>
      </c>
      <c r="L633" s="1">
        <v>6388</v>
      </c>
      <c r="M633" s="2">
        <f t="shared" si="148"/>
        <v>402444</v>
      </c>
      <c r="N633" s="1">
        <v>72439.92</v>
      </c>
      <c r="O633" s="1">
        <f t="shared" si="149"/>
        <v>474883.92</v>
      </c>
      <c r="P633" s="1">
        <v>9350</v>
      </c>
      <c r="Q633" s="1">
        <f t="shared" si="150"/>
        <v>465533.92</v>
      </c>
      <c r="R633" s="1">
        <f>0.62*U633</f>
        <v>204479.1</v>
      </c>
      <c r="S633" s="1">
        <f>U633*0.2</f>
        <v>65961</v>
      </c>
      <c r="T633" s="1">
        <f t="shared" si="152"/>
        <v>59364.899999999994</v>
      </c>
      <c r="U633" s="1">
        <v>329805</v>
      </c>
      <c r="V633" s="1">
        <f t="shared" si="147"/>
        <v>135728.91999999998</v>
      </c>
      <c r="W633" s="1">
        <v>4.3</v>
      </c>
    </row>
    <row r="634" spans="1:23" x14ac:dyDescent="0.25">
      <c r="A634" s="1" t="s">
        <v>359</v>
      </c>
      <c r="B634" s="1" t="s">
        <v>32</v>
      </c>
      <c r="C634" s="1" t="s">
        <v>408</v>
      </c>
      <c r="D634" s="1" t="s">
        <v>48</v>
      </c>
      <c r="E634" s="1" t="s">
        <v>49</v>
      </c>
      <c r="F634" s="1" t="s">
        <v>29</v>
      </c>
      <c r="G634" s="1" t="s">
        <v>87</v>
      </c>
      <c r="H634" s="1" t="s">
        <v>398</v>
      </c>
      <c r="I634" s="1" t="s">
        <v>397</v>
      </c>
      <c r="J634" s="1" t="s">
        <v>26</v>
      </c>
      <c r="K634" s="1">
        <v>83</v>
      </c>
      <c r="L634" s="1">
        <v>14444</v>
      </c>
      <c r="M634" s="2">
        <f t="shared" si="148"/>
        <v>1198852</v>
      </c>
      <c r="N634" s="1">
        <v>198529.89</v>
      </c>
      <c r="O634" s="1">
        <f t="shared" si="149"/>
        <v>1397381.8900000001</v>
      </c>
      <c r="P634" s="1">
        <v>9095</v>
      </c>
      <c r="Q634" s="1">
        <f t="shared" si="150"/>
        <v>1388286.8900000001</v>
      </c>
      <c r="R634" s="1">
        <v>405828.5</v>
      </c>
      <c r="S634" s="1">
        <f>U634*0.1</f>
        <v>81165.700000000012</v>
      </c>
      <c r="T634" s="1">
        <f t="shared" si="152"/>
        <v>324662.80000000005</v>
      </c>
      <c r="U634" s="1">
        <v>811657</v>
      </c>
      <c r="V634" s="1">
        <f t="shared" si="147"/>
        <v>576629.89000000013</v>
      </c>
      <c r="W634" s="1">
        <v>3.8</v>
      </c>
    </row>
    <row r="635" spans="1:23" x14ac:dyDescent="0.25">
      <c r="A635" s="1" t="s">
        <v>360</v>
      </c>
      <c r="B635" s="1" t="s">
        <v>21</v>
      </c>
      <c r="C635" s="1" t="s">
        <v>408</v>
      </c>
      <c r="D635" s="1" t="s">
        <v>52</v>
      </c>
      <c r="E635" s="1" t="s">
        <v>23</v>
      </c>
      <c r="F635" s="1" t="s">
        <v>59</v>
      </c>
      <c r="G635" s="1" t="s">
        <v>103</v>
      </c>
      <c r="H635" s="1" t="s">
        <v>399</v>
      </c>
      <c r="I635" s="1" t="s">
        <v>396</v>
      </c>
      <c r="J635" s="1" t="s">
        <v>46</v>
      </c>
      <c r="K635" s="1">
        <v>97</v>
      </c>
      <c r="L635" s="1">
        <v>2426</v>
      </c>
      <c r="M635" s="2">
        <f t="shared" si="148"/>
        <v>235322</v>
      </c>
      <c r="N635" s="1">
        <v>38969.32</v>
      </c>
      <c r="O635" s="1">
        <f t="shared" si="149"/>
        <v>274291.32</v>
      </c>
      <c r="P635" s="1">
        <v>9628</v>
      </c>
      <c r="Q635" s="1">
        <f t="shared" si="150"/>
        <v>264663.32</v>
      </c>
      <c r="R635" s="1">
        <f t="shared" ref="R635:R636" si="158">0.7*U635</f>
        <v>109251.09999999999</v>
      </c>
      <c r="S635" s="1">
        <f t="shared" si="151"/>
        <v>31214.600000000002</v>
      </c>
      <c r="T635" s="1">
        <f t="shared" si="152"/>
        <v>15607.300000000003</v>
      </c>
      <c r="U635" s="1">
        <v>156073</v>
      </c>
      <c r="V635" s="1">
        <f t="shared" si="147"/>
        <v>108590.32</v>
      </c>
      <c r="W635" s="1">
        <v>4.5</v>
      </c>
    </row>
    <row r="636" spans="1:23" x14ac:dyDescent="0.25">
      <c r="A636" s="1" t="s">
        <v>153</v>
      </c>
      <c r="B636" s="1" t="s">
        <v>41</v>
      </c>
      <c r="C636" s="1" t="s">
        <v>408</v>
      </c>
      <c r="D636" s="1" t="s">
        <v>22</v>
      </c>
      <c r="E636" s="1" t="s">
        <v>23</v>
      </c>
      <c r="F636" s="1" t="s">
        <v>59</v>
      </c>
      <c r="G636" s="1" t="s">
        <v>103</v>
      </c>
      <c r="H636" s="1" t="s">
        <v>398</v>
      </c>
      <c r="I636" s="1" t="s">
        <v>396</v>
      </c>
      <c r="J636" s="1" t="s">
        <v>26</v>
      </c>
      <c r="K636" s="1">
        <v>178</v>
      </c>
      <c r="L636" s="1">
        <v>12280</v>
      </c>
      <c r="M636" s="2">
        <f t="shared" si="148"/>
        <v>2185840</v>
      </c>
      <c r="N636" s="1">
        <v>373778.64</v>
      </c>
      <c r="O636" s="1">
        <f t="shared" si="149"/>
        <v>2559618.64</v>
      </c>
      <c r="P636" s="1">
        <v>7786</v>
      </c>
      <c r="Q636" s="1">
        <f t="shared" si="150"/>
        <v>2551832.64</v>
      </c>
      <c r="R636" s="1">
        <f t="shared" si="158"/>
        <v>1184073.7999999998</v>
      </c>
      <c r="S636" s="1">
        <f t="shared" si="151"/>
        <v>338306.80000000005</v>
      </c>
      <c r="T636" s="1">
        <f t="shared" si="152"/>
        <v>169153.40000000014</v>
      </c>
      <c r="U636" s="1">
        <v>1691534</v>
      </c>
      <c r="V636" s="1">
        <f t="shared" si="147"/>
        <v>860298.64000000013</v>
      </c>
      <c r="W636" s="1">
        <v>4.9000000000000004</v>
      </c>
    </row>
    <row r="637" spans="1:23" x14ac:dyDescent="0.25">
      <c r="A637" s="1" t="s">
        <v>361</v>
      </c>
      <c r="B637" s="1" t="s">
        <v>32</v>
      </c>
      <c r="C637" s="1" t="s">
        <v>408</v>
      </c>
      <c r="D637" s="1" t="s">
        <v>15</v>
      </c>
      <c r="E637" s="1" t="s">
        <v>16</v>
      </c>
      <c r="F637" s="1" t="s">
        <v>29</v>
      </c>
      <c r="G637" s="1" t="s">
        <v>91</v>
      </c>
      <c r="H637" s="1" t="s">
        <v>399</v>
      </c>
      <c r="I637" s="1" t="s">
        <v>395</v>
      </c>
      <c r="J637" s="1" t="s">
        <v>46</v>
      </c>
      <c r="K637" s="1">
        <v>77</v>
      </c>
      <c r="L637" s="1">
        <v>4607</v>
      </c>
      <c r="M637" s="2">
        <f t="shared" si="148"/>
        <v>354739</v>
      </c>
      <c r="N637" s="1">
        <v>60660.37</v>
      </c>
      <c r="O637" s="1">
        <f t="shared" si="149"/>
        <v>415399.37</v>
      </c>
      <c r="P637" s="1">
        <v>5468</v>
      </c>
      <c r="Q637" s="1">
        <f t="shared" si="150"/>
        <v>409931.37</v>
      </c>
      <c r="R637" s="1">
        <v>55844.25</v>
      </c>
      <c r="S637" s="1">
        <f t="shared" ref="S637:S638" si="159">U637*0.1</f>
        <v>22337.7</v>
      </c>
      <c r="T637" s="1">
        <f t="shared" si="152"/>
        <v>145195.04999999999</v>
      </c>
      <c r="U637" s="1">
        <v>223377</v>
      </c>
      <c r="V637" s="1">
        <f t="shared" si="147"/>
        <v>186554.37</v>
      </c>
      <c r="W637" s="1">
        <v>4.4000000000000004</v>
      </c>
    </row>
    <row r="638" spans="1:23" x14ac:dyDescent="0.25">
      <c r="A638" s="1" t="s">
        <v>107</v>
      </c>
      <c r="B638" s="1" t="s">
        <v>58</v>
      </c>
      <c r="C638" s="1" t="s">
        <v>408</v>
      </c>
      <c r="D638" s="1" t="s">
        <v>74</v>
      </c>
      <c r="E638" s="1" t="s">
        <v>56</v>
      </c>
      <c r="F638" s="1" t="s">
        <v>29</v>
      </c>
      <c r="G638" s="1" t="s">
        <v>87</v>
      </c>
      <c r="H638" s="1" t="s">
        <v>398</v>
      </c>
      <c r="I638" s="1" t="s">
        <v>397</v>
      </c>
      <c r="J638" s="1" t="s">
        <v>46</v>
      </c>
      <c r="K638" s="1">
        <v>145</v>
      </c>
      <c r="L638" s="1">
        <v>2840</v>
      </c>
      <c r="M638" s="2">
        <f t="shared" si="148"/>
        <v>411800</v>
      </c>
      <c r="N638" s="1">
        <v>74124</v>
      </c>
      <c r="O638" s="1">
        <f t="shared" si="149"/>
        <v>485924</v>
      </c>
      <c r="P638" s="1">
        <v>9128</v>
      </c>
      <c r="Q638" s="1">
        <f t="shared" si="150"/>
        <v>476796</v>
      </c>
      <c r="R638" s="1">
        <v>158630</v>
      </c>
      <c r="S638" s="1">
        <f t="shared" si="159"/>
        <v>31726</v>
      </c>
      <c r="T638" s="1">
        <f t="shared" si="152"/>
        <v>126904</v>
      </c>
      <c r="U638" s="1">
        <v>317260</v>
      </c>
      <c r="V638" s="1">
        <f t="shared" si="147"/>
        <v>159536</v>
      </c>
      <c r="W638" s="1">
        <v>4.7</v>
      </c>
    </row>
    <row r="639" spans="1:23" x14ac:dyDescent="0.25">
      <c r="A639" s="1" t="s">
        <v>253</v>
      </c>
      <c r="B639" s="1" t="s">
        <v>21</v>
      </c>
      <c r="C639" s="1" t="s">
        <v>408</v>
      </c>
      <c r="D639" s="1" t="s">
        <v>15</v>
      </c>
      <c r="E639" s="1" t="s">
        <v>16</v>
      </c>
      <c r="F639" s="1" t="s">
        <v>17</v>
      </c>
      <c r="G639" s="1" t="s">
        <v>38</v>
      </c>
      <c r="H639" s="1" t="s">
        <v>398</v>
      </c>
      <c r="I639" s="1" t="s">
        <v>397</v>
      </c>
      <c r="J639" s="1" t="s">
        <v>26</v>
      </c>
      <c r="K639" s="1">
        <v>148</v>
      </c>
      <c r="L639" s="1">
        <v>33085</v>
      </c>
      <c r="M639" s="2">
        <f t="shared" si="148"/>
        <v>4896580</v>
      </c>
      <c r="N639" s="1">
        <v>881384.4</v>
      </c>
      <c r="O639" s="1">
        <f t="shared" si="149"/>
        <v>5777964.4000000004</v>
      </c>
      <c r="P639" s="1">
        <v>9804</v>
      </c>
      <c r="Q639" s="1">
        <f t="shared" si="150"/>
        <v>5768160.4000000004</v>
      </c>
      <c r="R639" s="1">
        <f>0.62*U639</f>
        <v>2120206.56</v>
      </c>
      <c r="S639" s="1">
        <f>U639*0.2</f>
        <v>683937.60000000009</v>
      </c>
      <c r="T639" s="1">
        <f t="shared" si="152"/>
        <v>615543.83999999985</v>
      </c>
      <c r="U639" s="1">
        <v>3419688</v>
      </c>
      <c r="V639" s="1">
        <f t="shared" si="147"/>
        <v>2348472.4000000004</v>
      </c>
      <c r="W639" s="1">
        <v>4.9000000000000004</v>
      </c>
    </row>
    <row r="640" spans="1:23" x14ac:dyDescent="0.25">
      <c r="A640" s="1" t="s">
        <v>249</v>
      </c>
      <c r="B640" s="1" t="s">
        <v>69</v>
      </c>
      <c r="C640" s="1" t="s">
        <v>408</v>
      </c>
      <c r="D640" s="1" t="s">
        <v>42</v>
      </c>
      <c r="E640" s="1" t="s">
        <v>43</v>
      </c>
      <c r="F640" s="1" t="s">
        <v>24</v>
      </c>
      <c r="G640" s="1" t="s">
        <v>44</v>
      </c>
      <c r="H640" s="1" t="s">
        <v>399</v>
      </c>
      <c r="I640" s="1" t="s">
        <v>397</v>
      </c>
      <c r="J640" s="1" t="s">
        <v>26</v>
      </c>
      <c r="K640" s="1">
        <v>99</v>
      </c>
      <c r="L640" s="1">
        <v>21422</v>
      </c>
      <c r="M640" s="2">
        <f t="shared" si="148"/>
        <v>2120778</v>
      </c>
      <c r="N640" s="1">
        <v>362653.04</v>
      </c>
      <c r="O640" s="1">
        <f t="shared" si="149"/>
        <v>2483431.04</v>
      </c>
      <c r="P640" s="1">
        <v>7269</v>
      </c>
      <c r="Q640" s="1">
        <f t="shared" si="150"/>
        <v>2476162.04</v>
      </c>
      <c r="R640" s="1">
        <v>1305315</v>
      </c>
      <c r="S640" s="1">
        <f t="shared" si="151"/>
        <v>348084</v>
      </c>
      <c r="T640" s="1">
        <f t="shared" si="152"/>
        <v>87021</v>
      </c>
      <c r="U640" s="1">
        <v>1740420</v>
      </c>
      <c r="V640" s="1">
        <f t="shared" si="147"/>
        <v>735742.04</v>
      </c>
      <c r="W640" s="1">
        <v>4.5999999999999996</v>
      </c>
    </row>
    <row r="641" spans="1:23" x14ac:dyDescent="0.25">
      <c r="A641" s="1" t="s">
        <v>273</v>
      </c>
      <c r="B641" s="1" t="s">
        <v>37</v>
      </c>
      <c r="C641" s="1" t="s">
        <v>408</v>
      </c>
      <c r="D641" s="1" t="s">
        <v>78</v>
      </c>
      <c r="E641" s="1" t="s">
        <v>49</v>
      </c>
      <c r="F641" s="1" t="s">
        <v>17</v>
      </c>
      <c r="G641" s="1" t="s">
        <v>72</v>
      </c>
      <c r="H641" s="1" t="s">
        <v>398</v>
      </c>
      <c r="I641" s="1" t="s">
        <v>19</v>
      </c>
      <c r="J641" s="1" t="s">
        <v>26</v>
      </c>
      <c r="K641" s="1">
        <v>197</v>
      </c>
      <c r="L641" s="1">
        <v>17359</v>
      </c>
      <c r="M641" s="2">
        <f t="shared" si="148"/>
        <v>3419723</v>
      </c>
      <c r="N641" s="1">
        <v>523217.62</v>
      </c>
      <c r="O641" s="1">
        <f t="shared" si="149"/>
        <v>3942940.62</v>
      </c>
      <c r="P641" s="1">
        <v>9803</v>
      </c>
      <c r="Q641" s="1">
        <f t="shared" si="150"/>
        <v>3933137.62</v>
      </c>
      <c r="R641" s="1">
        <f t="shared" ref="R641:R642" si="160">0.62*U641</f>
        <v>1458840.16</v>
      </c>
      <c r="S641" s="1">
        <f t="shared" si="151"/>
        <v>470593.60000000003</v>
      </c>
      <c r="T641" s="1">
        <f t="shared" si="152"/>
        <v>423534.24</v>
      </c>
      <c r="U641" s="1">
        <v>2352968</v>
      </c>
      <c r="V641" s="1">
        <f t="shared" si="147"/>
        <v>1580169.62</v>
      </c>
      <c r="W641" s="1">
        <v>4.0999999999999996</v>
      </c>
    </row>
    <row r="642" spans="1:23" x14ac:dyDescent="0.25">
      <c r="A642" s="1" t="s">
        <v>310</v>
      </c>
      <c r="B642" s="1" t="s">
        <v>58</v>
      </c>
      <c r="C642" s="1" t="s">
        <v>408</v>
      </c>
      <c r="D642" s="1" t="s">
        <v>48</v>
      </c>
      <c r="E642" s="1" t="s">
        <v>49</v>
      </c>
      <c r="F642" s="1" t="s">
        <v>17</v>
      </c>
      <c r="G642" s="1" t="s">
        <v>38</v>
      </c>
      <c r="H642" s="1" t="s">
        <v>398</v>
      </c>
      <c r="I642" s="1" t="s">
        <v>397</v>
      </c>
      <c r="J642" s="1" t="s">
        <v>26</v>
      </c>
      <c r="K642" s="1">
        <v>26</v>
      </c>
      <c r="L642" s="1">
        <v>3553</v>
      </c>
      <c r="M642" s="2">
        <f t="shared" si="148"/>
        <v>92378</v>
      </c>
      <c r="N642" s="1">
        <v>14133.83</v>
      </c>
      <c r="O642" s="1">
        <f t="shared" si="149"/>
        <v>106511.83</v>
      </c>
      <c r="P642" s="1">
        <v>7345</v>
      </c>
      <c r="Q642" s="1">
        <f t="shared" si="150"/>
        <v>99166.83</v>
      </c>
      <c r="R642" s="1">
        <f t="shared" si="160"/>
        <v>36850.32</v>
      </c>
      <c r="S642" s="1">
        <f t="shared" si="151"/>
        <v>11887.2</v>
      </c>
      <c r="T642" s="1">
        <f t="shared" si="152"/>
        <v>10698.480000000003</v>
      </c>
      <c r="U642" s="1">
        <v>59436</v>
      </c>
      <c r="V642" s="1">
        <f t="shared" si="147"/>
        <v>39730.83</v>
      </c>
      <c r="W642" s="1">
        <v>4.8</v>
      </c>
    </row>
    <row r="643" spans="1:23" x14ac:dyDescent="0.25">
      <c r="A643" s="1" t="s">
        <v>279</v>
      </c>
      <c r="B643" s="1" t="s">
        <v>34</v>
      </c>
      <c r="C643" s="1" t="s">
        <v>408</v>
      </c>
      <c r="D643" s="1" t="s">
        <v>78</v>
      </c>
      <c r="E643" s="1" t="s">
        <v>49</v>
      </c>
      <c r="F643" s="1" t="s">
        <v>59</v>
      </c>
      <c r="G643" s="1" t="s">
        <v>67</v>
      </c>
      <c r="H643" s="1" t="s">
        <v>398</v>
      </c>
      <c r="I643" s="1" t="s">
        <v>397</v>
      </c>
      <c r="J643" s="1" t="s">
        <v>26</v>
      </c>
      <c r="K643" s="1">
        <v>19</v>
      </c>
      <c r="L643" s="1">
        <v>1397</v>
      </c>
      <c r="M643" s="2">
        <f t="shared" si="148"/>
        <v>26543</v>
      </c>
      <c r="N643" s="1">
        <v>4061.08</v>
      </c>
      <c r="O643" s="1">
        <f t="shared" si="149"/>
        <v>30604.080000000002</v>
      </c>
      <c r="P643" s="1">
        <v>7666</v>
      </c>
      <c r="Q643" s="1">
        <f t="shared" si="150"/>
        <v>22938.080000000002</v>
      </c>
      <c r="R643" s="1">
        <f>0.7*U643</f>
        <v>12980.8</v>
      </c>
      <c r="S643" s="1">
        <f t="shared" si="151"/>
        <v>3708.8</v>
      </c>
      <c r="T643" s="1">
        <f t="shared" si="152"/>
        <v>1854.4000000000015</v>
      </c>
      <c r="U643" s="1">
        <v>18544</v>
      </c>
      <c r="V643" s="1">
        <f t="shared" si="147"/>
        <v>4394.0800000000017</v>
      </c>
      <c r="W643" s="1">
        <v>5</v>
      </c>
    </row>
    <row r="644" spans="1:23" x14ac:dyDescent="0.25">
      <c r="A644" s="1" t="s">
        <v>116</v>
      </c>
      <c r="B644" s="1" t="s">
        <v>21</v>
      </c>
      <c r="C644" s="1" t="s">
        <v>408</v>
      </c>
      <c r="D644" s="1" t="s">
        <v>42</v>
      </c>
      <c r="E644" s="1" t="s">
        <v>43</v>
      </c>
      <c r="F644" s="1" t="s">
        <v>17</v>
      </c>
      <c r="G644" s="1" t="s">
        <v>18</v>
      </c>
      <c r="H644" s="1" t="s">
        <v>399</v>
      </c>
      <c r="I644" s="1" t="s">
        <v>396</v>
      </c>
      <c r="J644" s="1" t="s">
        <v>26</v>
      </c>
      <c r="K644" s="1">
        <v>98</v>
      </c>
      <c r="L644" s="1">
        <v>11025</v>
      </c>
      <c r="M644" s="2">
        <f t="shared" si="148"/>
        <v>1080450</v>
      </c>
      <c r="N644" s="1">
        <v>178922.52</v>
      </c>
      <c r="O644" s="1">
        <f t="shared" si="149"/>
        <v>1259372.52</v>
      </c>
      <c r="P644" s="1">
        <v>5221</v>
      </c>
      <c r="Q644" s="1">
        <f t="shared" si="150"/>
        <v>1254151.52</v>
      </c>
      <c r="R644" s="1">
        <f t="shared" ref="R644:R645" si="161">0.62*U644</f>
        <v>458859.52000000002</v>
      </c>
      <c r="S644" s="1">
        <f t="shared" si="151"/>
        <v>148019.20000000001</v>
      </c>
      <c r="T644" s="1">
        <f t="shared" si="152"/>
        <v>133217.28000000003</v>
      </c>
      <c r="U644" s="1">
        <v>740096</v>
      </c>
      <c r="V644" s="1">
        <f t="shared" ref="V644:V707" si="162">Q644-U644</f>
        <v>514055.52</v>
      </c>
      <c r="W644" s="1">
        <v>4.8</v>
      </c>
    </row>
    <row r="645" spans="1:23" x14ac:dyDescent="0.25">
      <c r="A645" s="1" t="s">
        <v>73</v>
      </c>
      <c r="B645" s="1" t="s">
        <v>21</v>
      </c>
      <c r="C645" s="1" t="s">
        <v>408</v>
      </c>
      <c r="D645" s="1" t="s">
        <v>42</v>
      </c>
      <c r="E645" s="1" t="s">
        <v>43</v>
      </c>
      <c r="F645" s="1" t="s">
        <v>17</v>
      </c>
      <c r="G645" s="1" t="s">
        <v>72</v>
      </c>
      <c r="H645" s="1" t="s">
        <v>399</v>
      </c>
      <c r="I645" s="1" t="s">
        <v>397</v>
      </c>
      <c r="J645" s="1" t="s">
        <v>46</v>
      </c>
      <c r="K645" s="1">
        <v>158</v>
      </c>
      <c r="L645" s="1">
        <v>37214</v>
      </c>
      <c r="M645" s="2">
        <f t="shared" ref="M645:M708" si="163">K645*L645</f>
        <v>5879812</v>
      </c>
      <c r="N645" s="1">
        <v>899611.24</v>
      </c>
      <c r="O645" s="1">
        <f t="shared" ref="O645:O708" si="164">M645+N645</f>
        <v>6779423.2400000002</v>
      </c>
      <c r="P645" s="1">
        <v>8382</v>
      </c>
      <c r="Q645" s="1">
        <f t="shared" ref="Q645:Q708" si="165">O645-P645</f>
        <v>6771041.2400000002</v>
      </c>
      <c r="R645" s="1">
        <f t="shared" si="161"/>
        <v>2296378.3199999998</v>
      </c>
      <c r="S645" s="1">
        <f t="shared" ref="S645" si="166">U645*0.2</f>
        <v>740767.20000000007</v>
      </c>
      <c r="T645" s="1">
        <f t="shared" ref="T645:T708" si="167">U645-S645-R645</f>
        <v>666690.48</v>
      </c>
      <c r="U645" s="1">
        <v>3703836</v>
      </c>
      <c r="V645" s="1">
        <f t="shared" si="162"/>
        <v>3067205.24</v>
      </c>
      <c r="W645" s="1">
        <v>3.7</v>
      </c>
    </row>
    <row r="646" spans="1:23" x14ac:dyDescent="0.25">
      <c r="A646" s="1" t="s">
        <v>251</v>
      </c>
      <c r="B646" s="1" t="s">
        <v>34</v>
      </c>
      <c r="C646" s="1" t="s">
        <v>408</v>
      </c>
      <c r="D646" s="1" t="s">
        <v>74</v>
      </c>
      <c r="E646" s="1" t="s">
        <v>56</v>
      </c>
      <c r="F646" s="1" t="s">
        <v>29</v>
      </c>
      <c r="G646" s="1" t="s">
        <v>53</v>
      </c>
      <c r="H646" s="1" t="s">
        <v>399</v>
      </c>
      <c r="I646" s="1" t="s">
        <v>395</v>
      </c>
      <c r="J646" s="1" t="s">
        <v>46</v>
      </c>
      <c r="K646" s="1">
        <v>17</v>
      </c>
      <c r="L646" s="1">
        <v>3774</v>
      </c>
      <c r="M646" s="2">
        <f t="shared" si="163"/>
        <v>64158</v>
      </c>
      <c r="N646" s="1">
        <v>9816.17</v>
      </c>
      <c r="O646" s="1">
        <f t="shared" si="164"/>
        <v>73974.17</v>
      </c>
      <c r="P646" s="1">
        <v>8765</v>
      </c>
      <c r="Q646" s="1">
        <f t="shared" si="165"/>
        <v>65209.17</v>
      </c>
      <c r="R646" s="1">
        <v>24318.5</v>
      </c>
      <c r="S646" s="1">
        <f>U646*0.1</f>
        <v>4863.7</v>
      </c>
      <c r="T646" s="1">
        <f t="shared" si="167"/>
        <v>19454.800000000003</v>
      </c>
      <c r="U646" s="1">
        <v>48637</v>
      </c>
      <c r="V646" s="1">
        <f t="shared" si="162"/>
        <v>16572.169999999998</v>
      </c>
      <c r="W646" s="1">
        <v>4</v>
      </c>
    </row>
    <row r="647" spans="1:23" x14ac:dyDescent="0.25">
      <c r="A647" s="1" t="s">
        <v>298</v>
      </c>
      <c r="B647" s="1" t="s">
        <v>37</v>
      </c>
      <c r="C647" s="1" t="s">
        <v>408</v>
      </c>
      <c r="D647" s="1" t="s">
        <v>15</v>
      </c>
      <c r="E647" s="1" t="s">
        <v>16</v>
      </c>
      <c r="F647" s="1" t="s">
        <v>17</v>
      </c>
      <c r="G647" s="1" t="s">
        <v>38</v>
      </c>
      <c r="H647" s="1" t="s">
        <v>399</v>
      </c>
      <c r="I647" s="1" t="s">
        <v>396</v>
      </c>
      <c r="J647" s="1" t="s">
        <v>46</v>
      </c>
      <c r="K647" s="1">
        <v>168</v>
      </c>
      <c r="L647" s="1">
        <v>2742</v>
      </c>
      <c r="M647" s="2">
        <f t="shared" si="163"/>
        <v>460656</v>
      </c>
      <c r="N647" s="1">
        <v>72967.91</v>
      </c>
      <c r="O647" s="1">
        <f t="shared" si="164"/>
        <v>533623.91</v>
      </c>
      <c r="P647" s="1">
        <v>9546</v>
      </c>
      <c r="Q647" s="1">
        <f t="shared" si="165"/>
        <v>524077.91000000003</v>
      </c>
      <c r="R647" s="1">
        <f t="shared" ref="R647:R648" si="168">0.62*U647</f>
        <v>217381.92</v>
      </c>
      <c r="S647" s="1">
        <f t="shared" ref="S647:S648" si="169">U647*0.2</f>
        <v>70123.199999999997</v>
      </c>
      <c r="T647" s="1">
        <f t="shared" si="167"/>
        <v>63110.879999999976</v>
      </c>
      <c r="U647" s="1">
        <v>350616</v>
      </c>
      <c r="V647" s="1">
        <f t="shared" si="162"/>
        <v>173461.91000000003</v>
      </c>
      <c r="W647" s="1">
        <v>3.7</v>
      </c>
    </row>
    <row r="648" spans="1:23" x14ac:dyDescent="0.25">
      <c r="A648" s="1" t="s">
        <v>362</v>
      </c>
      <c r="B648" s="1" t="s">
        <v>37</v>
      </c>
      <c r="C648" s="1" t="s">
        <v>408</v>
      </c>
      <c r="D648" s="1" t="s">
        <v>22</v>
      </c>
      <c r="E648" s="1" t="s">
        <v>23</v>
      </c>
      <c r="F648" s="1" t="s">
        <v>17</v>
      </c>
      <c r="G648" s="1" t="s">
        <v>18</v>
      </c>
      <c r="H648" s="1" t="s">
        <v>399</v>
      </c>
      <c r="I648" s="1" t="s">
        <v>395</v>
      </c>
      <c r="J648" s="1" t="s">
        <v>46</v>
      </c>
      <c r="K648" s="1">
        <v>33</v>
      </c>
      <c r="L648" s="1">
        <v>34568</v>
      </c>
      <c r="M648" s="2">
        <f t="shared" si="163"/>
        <v>1140744</v>
      </c>
      <c r="N648" s="1">
        <v>174533.83</v>
      </c>
      <c r="O648" s="1">
        <f t="shared" si="164"/>
        <v>1315277.83</v>
      </c>
      <c r="P648" s="1">
        <v>9457</v>
      </c>
      <c r="Q648" s="1">
        <f t="shared" si="165"/>
        <v>1305820.83</v>
      </c>
      <c r="R648" s="1">
        <f t="shared" si="168"/>
        <v>489812.4</v>
      </c>
      <c r="S648" s="1">
        <f t="shared" si="169"/>
        <v>158004</v>
      </c>
      <c r="T648" s="1">
        <f t="shared" si="167"/>
        <v>142203.59999999998</v>
      </c>
      <c r="U648" s="1">
        <v>790020</v>
      </c>
      <c r="V648" s="1">
        <f t="shared" si="162"/>
        <v>515800.83000000007</v>
      </c>
      <c r="W648" s="1">
        <v>4.5999999999999996</v>
      </c>
    </row>
    <row r="649" spans="1:23" x14ac:dyDescent="0.25">
      <c r="A649" s="1" t="s">
        <v>363</v>
      </c>
      <c r="B649" s="1" t="s">
        <v>58</v>
      </c>
      <c r="C649" s="1" t="s">
        <v>408</v>
      </c>
      <c r="D649" s="1" t="s">
        <v>48</v>
      </c>
      <c r="E649" s="1" t="s">
        <v>49</v>
      </c>
      <c r="F649" s="1" t="s">
        <v>59</v>
      </c>
      <c r="G649" s="1" t="s">
        <v>103</v>
      </c>
      <c r="H649" s="1" t="s">
        <v>399</v>
      </c>
      <c r="I649" s="1" t="s">
        <v>395</v>
      </c>
      <c r="J649" s="1" t="s">
        <v>26</v>
      </c>
      <c r="K649" s="1">
        <v>92</v>
      </c>
      <c r="L649" s="1">
        <v>15758</v>
      </c>
      <c r="M649" s="2">
        <f t="shared" si="163"/>
        <v>1449736</v>
      </c>
      <c r="N649" s="1">
        <v>240076.28</v>
      </c>
      <c r="O649" s="1">
        <f t="shared" si="164"/>
        <v>1689812.28</v>
      </c>
      <c r="P649" s="1">
        <v>9245</v>
      </c>
      <c r="Q649" s="1">
        <f t="shared" si="165"/>
        <v>1680567.28</v>
      </c>
      <c r="R649" s="1">
        <f t="shared" ref="R649:R651" si="170">0.7*U649</f>
        <v>753737.6</v>
      </c>
      <c r="S649" s="1">
        <f t="shared" ref="S649:S708" si="171">U649*0.2</f>
        <v>215353.60000000001</v>
      </c>
      <c r="T649" s="1">
        <f t="shared" si="167"/>
        <v>107676.80000000005</v>
      </c>
      <c r="U649" s="1">
        <v>1076768</v>
      </c>
      <c r="V649" s="1">
        <f t="shared" si="162"/>
        <v>603799.28</v>
      </c>
      <c r="W649" s="1">
        <v>3.6</v>
      </c>
    </row>
    <row r="650" spans="1:23" x14ac:dyDescent="0.25">
      <c r="A650" s="1" t="s">
        <v>199</v>
      </c>
      <c r="B650" s="1" t="s">
        <v>14</v>
      </c>
      <c r="C650" s="1" t="s">
        <v>408</v>
      </c>
      <c r="D650" s="1" t="s">
        <v>62</v>
      </c>
      <c r="E650" s="1" t="s">
        <v>43</v>
      </c>
      <c r="F650" s="1" t="s">
        <v>59</v>
      </c>
      <c r="G650" s="1" t="s">
        <v>121</v>
      </c>
      <c r="H650" s="1" t="s">
        <v>398</v>
      </c>
      <c r="I650" s="1" t="s">
        <v>39</v>
      </c>
      <c r="J650" s="1" t="s">
        <v>26</v>
      </c>
      <c r="K650" s="1">
        <v>14</v>
      </c>
      <c r="L650" s="1">
        <v>28941</v>
      </c>
      <c r="M650" s="2">
        <f t="shared" si="163"/>
        <v>405174</v>
      </c>
      <c r="N650" s="1">
        <v>61991.62</v>
      </c>
      <c r="O650" s="1">
        <f t="shared" si="164"/>
        <v>467165.62</v>
      </c>
      <c r="P650" s="1">
        <v>9748</v>
      </c>
      <c r="Q650" s="1">
        <f t="shared" si="165"/>
        <v>457417.62</v>
      </c>
      <c r="R650" s="1">
        <f t="shared" si="170"/>
        <v>229535.59999999998</v>
      </c>
      <c r="S650" s="1">
        <f t="shared" si="171"/>
        <v>65581.600000000006</v>
      </c>
      <c r="T650" s="1">
        <f t="shared" si="167"/>
        <v>32790.800000000047</v>
      </c>
      <c r="U650" s="1">
        <v>327908</v>
      </c>
      <c r="V650" s="1">
        <f t="shared" si="162"/>
        <v>129509.62</v>
      </c>
      <c r="W650" s="1">
        <v>4.4000000000000004</v>
      </c>
    </row>
    <row r="651" spans="1:23" x14ac:dyDescent="0.25">
      <c r="A651" s="1" t="s">
        <v>354</v>
      </c>
      <c r="B651" s="1" t="s">
        <v>37</v>
      </c>
      <c r="C651" s="1" t="s">
        <v>408</v>
      </c>
      <c r="D651" s="1" t="s">
        <v>62</v>
      </c>
      <c r="E651" s="1" t="s">
        <v>43</v>
      </c>
      <c r="F651" s="1" t="s">
        <v>59</v>
      </c>
      <c r="G651" s="1" t="s">
        <v>85</v>
      </c>
      <c r="H651" s="1" t="s">
        <v>398</v>
      </c>
      <c r="I651" s="1" t="s">
        <v>396</v>
      </c>
      <c r="J651" s="1" t="s">
        <v>46</v>
      </c>
      <c r="K651" s="1">
        <v>159</v>
      </c>
      <c r="L651" s="1">
        <v>12930</v>
      </c>
      <c r="M651" s="2">
        <f t="shared" si="163"/>
        <v>2055870</v>
      </c>
      <c r="N651" s="1">
        <v>325649.81</v>
      </c>
      <c r="O651" s="1">
        <f t="shared" si="164"/>
        <v>2381519.81</v>
      </c>
      <c r="P651" s="1">
        <v>5678</v>
      </c>
      <c r="Q651" s="1">
        <f t="shared" si="165"/>
        <v>2375841.81</v>
      </c>
      <c r="R651" s="1">
        <f t="shared" si="170"/>
        <v>986451.89999999991</v>
      </c>
      <c r="S651" s="1">
        <f t="shared" si="171"/>
        <v>281843.40000000002</v>
      </c>
      <c r="T651" s="1">
        <f t="shared" si="167"/>
        <v>140921.70000000019</v>
      </c>
      <c r="U651" s="1">
        <v>1409217</v>
      </c>
      <c r="V651" s="1">
        <f t="shared" si="162"/>
        <v>966624.81</v>
      </c>
      <c r="W651" s="1">
        <v>5</v>
      </c>
    </row>
    <row r="652" spans="1:23" x14ac:dyDescent="0.25">
      <c r="A652" s="1" t="s">
        <v>364</v>
      </c>
      <c r="B652" s="1" t="s">
        <v>77</v>
      </c>
      <c r="C652" s="1" t="s">
        <v>408</v>
      </c>
      <c r="D652" s="1" t="s">
        <v>62</v>
      </c>
      <c r="E652" s="1" t="s">
        <v>43</v>
      </c>
      <c r="F652" s="1" t="s">
        <v>24</v>
      </c>
      <c r="G652" s="1" t="s">
        <v>119</v>
      </c>
      <c r="H652" s="1" t="s">
        <v>399</v>
      </c>
      <c r="I652" s="1" t="s">
        <v>19</v>
      </c>
      <c r="J652" s="1" t="s">
        <v>46</v>
      </c>
      <c r="K652" s="1">
        <v>28</v>
      </c>
      <c r="L652" s="1">
        <v>6485</v>
      </c>
      <c r="M652" s="2">
        <f t="shared" si="163"/>
        <v>181580</v>
      </c>
      <c r="N652" s="1">
        <v>30069.65</v>
      </c>
      <c r="O652" s="1">
        <f t="shared" si="164"/>
        <v>211649.65</v>
      </c>
      <c r="P652" s="1">
        <v>8730</v>
      </c>
      <c r="Q652" s="1">
        <f t="shared" si="165"/>
        <v>202919.65</v>
      </c>
      <c r="R652" s="1">
        <v>109620</v>
      </c>
      <c r="S652" s="1">
        <f t="shared" si="171"/>
        <v>29232</v>
      </c>
      <c r="T652" s="1">
        <f t="shared" si="167"/>
        <v>7308</v>
      </c>
      <c r="U652" s="1">
        <v>146160</v>
      </c>
      <c r="V652" s="1">
        <f t="shared" si="162"/>
        <v>56759.649999999994</v>
      </c>
      <c r="W652" s="1">
        <v>4.7</v>
      </c>
    </row>
    <row r="653" spans="1:23" x14ac:dyDescent="0.25">
      <c r="A653" s="1" t="s">
        <v>360</v>
      </c>
      <c r="B653" s="1" t="s">
        <v>109</v>
      </c>
      <c r="C653" s="1" t="s">
        <v>408</v>
      </c>
      <c r="D653" s="1" t="s">
        <v>78</v>
      </c>
      <c r="E653" s="1" t="s">
        <v>49</v>
      </c>
      <c r="F653" s="1" t="s">
        <v>59</v>
      </c>
      <c r="G653" s="1" t="s">
        <v>67</v>
      </c>
      <c r="H653" s="1" t="s">
        <v>398</v>
      </c>
      <c r="I653" s="1" t="s">
        <v>397</v>
      </c>
      <c r="J653" s="1" t="s">
        <v>46</v>
      </c>
      <c r="K653" s="1">
        <v>88</v>
      </c>
      <c r="L653" s="1">
        <v>33237</v>
      </c>
      <c r="M653" s="2">
        <f t="shared" si="163"/>
        <v>2924856</v>
      </c>
      <c r="N653" s="1">
        <v>526474.07999999996</v>
      </c>
      <c r="O653" s="1">
        <f t="shared" si="164"/>
        <v>3451330.08</v>
      </c>
      <c r="P653" s="1">
        <v>9950</v>
      </c>
      <c r="Q653" s="1">
        <f t="shared" si="165"/>
        <v>3441380.08</v>
      </c>
      <c r="R653" s="1">
        <f>0.7*U653</f>
        <v>1437620.7999999998</v>
      </c>
      <c r="S653" s="1">
        <f t="shared" si="171"/>
        <v>410748.80000000005</v>
      </c>
      <c r="T653" s="1">
        <f t="shared" si="167"/>
        <v>205374.40000000014</v>
      </c>
      <c r="U653" s="1">
        <v>2053744</v>
      </c>
      <c r="V653" s="1">
        <f t="shared" si="162"/>
        <v>1387636.08</v>
      </c>
      <c r="W653" s="1">
        <v>4</v>
      </c>
    </row>
    <row r="654" spans="1:23" x14ac:dyDescent="0.25">
      <c r="A654" s="1" t="s">
        <v>365</v>
      </c>
      <c r="B654" s="1" t="s">
        <v>77</v>
      </c>
      <c r="C654" s="1" t="s">
        <v>408</v>
      </c>
      <c r="D654" s="1" t="s">
        <v>15</v>
      </c>
      <c r="E654" s="1" t="s">
        <v>16</v>
      </c>
      <c r="F654" s="1" t="s">
        <v>17</v>
      </c>
      <c r="G654" s="1" t="s">
        <v>38</v>
      </c>
      <c r="H654" s="1" t="s">
        <v>398</v>
      </c>
      <c r="I654" s="1" t="s">
        <v>19</v>
      </c>
      <c r="J654" s="1" t="s">
        <v>46</v>
      </c>
      <c r="K654" s="1">
        <v>128</v>
      </c>
      <c r="L654" s="1">
        <v>16481</v>
      </c>
      <c r="M654" s="2">
        <f t="shared" si="163"/>
        <v>2109568</v>
      </c>
      <c r="N654" s="1">
        <v>379722.23999999999</v>
      </c>
      <c r="O654" s="1">
        <f t="shared" si="164"/>
        <v>2489290.2400000002</v>
      </c>
      <c r="P654" s="1">
        <v>5815</v>
      </c>
      <c r="Q654" s="1">
        <f t="shared" si="165"/>
        <v>2483475.2400000002</v>
      </c>
      <c r="R654" s="1">
        <f>0.62*U654</f>
        <v>1058900.48</v>
      </c>
      <c r="S654" s="1">
        <f>U654*0.2</f>
        <v>341580.80000000005</v>
      </c>
      <c r="T654" s="1">
        <f t="shared" si="167"/>
        <v>307422.71999999997</v>
      </c>
      <c r="U654" s="1">
        <v>1707904</v>
      </c>
      <c r="V654" s="1">
        <f t="shared" si="162"/>
        <v>775571.24000000022</v>
      </c>
      <c r="W654" s="1">
        <v>4.9000000000000004</v>
      </c>
    </row>
    <row r="655" spans="1:23" x14ac:dyDescent="0.25">
      <c r="A655" s="1" t="s">
        <v>366</v>
      </c>
      <c r="B655" s="1" t="s">
        <v>21</v>
      </c>
      <c r="C655" s="1" t="s">
        <v>408</v>
      </c>
      <c r="D655" s="1" t="s">
        <v>62</v>
      </c>
      <c r="E655" s="1" t="s">
        <v>43</v>
      </c>
      <c r="F655" s="1" t="s">
        <v>59</v>
      </c>
      <c r="G655" s="1" t="s">
        <v>103</v>
      </c>
      <c r="H655" s="1" t="s">
        <v>398</v>
      </c>
      <c r="I655" s="1" t="s">
        <v>19</v>
      </c>
      <c r="J655" s="1" t="s">
        <v>26</v>
      </c>
      <c r="K655" s="1">
        <v>49</v>
      </c>
      <c r="L655" s="1">
        <v>26292</v>
      </c>
      <c r="M655" s="2">
        <f t="shared" si="163"/>
        <v>1288308</v>
      </c>
      <c r="N655" s="1">
        <v>231895.44</v>
      </c>
      <c r="O655" s="1">
        <f t="shared" si="164"/>
        <v>1520203.44</v>
      </c>
      <c r="P655" s="1">
        <v>7755</v>
      </c>
      <c r="Q655" s="1">
        <f t="shared" si="165"/>
        <v>1512448.44</v>
      </c>
      <c r="R655" s="1">
        <f>0.7*U655</f>
        <v>705962.6</v>
      </c>
      <c r="S655" s="1">
        <f t="shared" si="171"/>
        <v>201703.6</v>
      </c>
      <c r="T655" s="1">
        <f t="shared" si="167"/>
        <v>100851.80000000005</v>
      </c>
      <c r="U655" s="1">
        <v>1008518</v>
      </c>
      <c r="V655" s="1">
        <f t="shared" si="162"/>
        <v>503930.43999999994</v>
      </c>
      <c r="W655" s="1">
        <v>4.3</v>
      </c>
    </row>
    <row r="656" spans="1:23" x14ac:dyDescent="0.25">
      <c r="A656" s="1" t="s">
        <v>181</v>
      </c>
      <c r="B656" s="1" t="s">
        <v>21</v>
      </c>
      <c r="C656" s="1" t="s">
        <v>408</v>
      </c>
      <c r="D656" s="1" t="s">
        <v>78</v>
      </c>
      <c r="E656" s="1" t="s">
        <v>49</v>
      </c>
      <c r="F656" s="1" t="s">
        <v>29</v>
      </c>
      <c r="G656" s="1" t="s">
        <v>91</v>
      </c>
      <c r="H656" s="1" t="s">
        <v>399</v>
      </c>
      <c r="I656" s="1" t="s">
        <v>397</v>
      </c>
      <c r="J656" s="1" t="s">
        <v>46</v>
      </c>
      <c r="K656" s="1">
        <v>50</v>
      </c>
      <c r="L656" s="1">
        <v>7199</v>
      </c>
      <c r="M656" s="2">
        <f t="shared" si="163"/>
        <v>359950</v>
      </c>
      <c r="N656" s="1">
        <v>55072.35</v>
      </c>
      <c r="O656" s="1">
        <f t="shared" si="164"/>
        <v>415022.35</v>
      </c>
      <c r="P656" s="1">
        <v>8236</v>
      </c>
      <c r="Q656" s="1">
        <f t="shared" si="165"/>
        <v>406786.35</v>
      </c>
      <c r="R656" s="1">
        <v>122700</v>
      </c>
      <c r="S656" s="1">
        <f t="shared" ref="S656:S657" si="172">U656*0.1</f>
        <v>24540</v>
      </c>
      <c r="T656" s="1">
        <f t="shared" si="167"/>
        <v>98160</v>
      </c>
      <c r="U656" s="1">
        <v>245400</v>
      </c>
      <c r="V656" s="1">
        <f t="shared" si="162"/>
        <v>161386.34999999998</v>
      </c>
      <c r="W656" s="1">
        <v>3.5</v>
      </c>
    </row>
    <row r="657" spans="1:23" x14ac:dyDescent="0.25">
      <c r="A657" s="1" t="s">
        <v>276</v>
      </c>
      <c r="B657" s="1" t="s">
        <v>34</v>
      </c>
      <c r="C657" s="1" t="s">
        <v>408</v>
      </c>
      <c r="D657" s="1" t="s">
        <v>74</v>
      </c>
      <c r="E657" s="1" t="s">
        <v>56</v>
      </c>
      <c r="F657" s="1" t="s">
        <v>29</v>
      </c>
      <c r="G657" s="1" t="s">
        <v>87</v>
      </c>
      <c r="H657" s="1" t="s">
        <v>399</v>
      </c>
      <c r="I657" s="1" t="s">
        <v>39</v>
      </c>
      <c r="J657" s="1" t="s">
        <v>26</v>
      </c>
      <c r="K657" s="1">
        <v>76</v>
      </c>
      <c r="L657" s="1">
        <v>2558</v>
      </c>
      <c r="M657" s="2">
        <f t="shared" si="163"/>
        <v>194408</v>
      </c>
      <c r="N657" s="1">
        <v>29744.42</v>
      </c>
      <c r="O657" s="1">
        <f t="shared" si="164"/>
        <v>224152.41999999998</v>
      </c>
      <c r="P657" s="1">
        <v>7867</v>
      </c>
      <c r="Q657" s="1">
        <f t="shared" si="165"/>
        <v>216285.41999999998</v>
      </c>
      <c r="R657" s="1">
        <v>70832</v>
      </c>
      <c r="S657" s="1">
        <f t="shared" si="172"/>
        <v>14166.400000000001</v>
      </c>
      <c r="T657" s="1">
        <f t="shared" si="167"/>
        <v>56665.600000000006</v>
      </c>
      <c r="U657" s="1">
        <v>141664</v>
      </c>
      <c r="V657" s="1">
        <f t="shared" si="162"/>
        <v>74621.419999999984</v>
      </c>
      <c r="W657" s="1">
        <v>3.9</v>
      </c>
    </row>
    <row r="658" spans="1:23" x14ac:dyDescent="0.25">
      <c r="A658" s="1" t="s">
        <v>133</v>
      </c>
      <c r="B658" s="1" t="s">
        <v>28</v>
      </c>
      <c r="C658" s="1" t="s">
        <v>408</v>
      </c>
      <c r="D658" s="1" t="s">
        <v>52</v>
      </c>
      <c r="E658" s="1" t="s">
        <v>23</v>
      </c>
      <c r="F658" s="1" t="s">
        <v>17</v>
      </c>
      <c r="G658" s="1" t="s">
        <v>75</v>
      </c>
      <c r="H658" s="1" t="s">
        <v>398</v>
      </c>
      <c r="I658" s="1" t="s">
        <v>395</v>
      </c>
      <c r="J658" s="1" t="s">
        <v>26</v>
      </c>
      <c r="K658" s="1">
        <v>118</v>
      </c>
      <c r="L658" s="1">
        <v>6715</v>
      </c>
      <c r="M658" s="2">
        <f t="shared" si="163"/>
        <v>792370</v>
      </c>
      <c r="N658" s="1">
        <v>142626.6</v>
      </c>
      <c r="O658" s="1">
        <f t="shared" si="164"/>
        <v>934996.6</v>
      </c>
      <c r="P658" s="1">
        <v>6636</v>
      </c>
      <c r="Q658" s="1">
        <f t="shared" si="165"/>
        <v>928360.6</v>
      </c>
      <c r="R658" s="1">
        <f>0.62*U658</f>
        <v>340340.32</v>
      </c>
      <c r="S658" s="1">
        <f>U658*0.2</f>
        <v>109787.20000000001</v>
      </c>
      <c r="T658" s="1">
        <f t="shared" si="167"/>
        <v>98808.479999999981</v>
      </c>
      <c r="U658" s="1">
        <v>548936</v>
      </c>
      <c r="V658" s="1">
        <f t="shared" si="162"/>
        <v>379424.6</v>
      </c>
      <c r="W658" s="1">
        <v>3.5</v>
      </c>
    </row>
    <row r="659" spans="1:23" x14ac:dyDescent="0.25">
      <c r="A659" s="1" t="s">
        <v>86</v>
      </c>
      <c r="B659" s="1" t="s">
        <v>41</v>
      </c>
      <c r="C659" s="1" t="s">
        <v>408</v>
      </c>
      <c r="D659" s="1" t="s">
        <v>55</v>
      </c>
      <c r="E659" s="1" t="s">
        <v>56</v>
      </c>
      <c r="F659" s="1" t="s">
        <v>29</v>
      </c>
      <c r="G659" s="1" t="s">
        <v>30</v>
      </c>
      <c r="H659" s="1" t="s">
        <v>398</v>
      </c>
      <c r="I659" s="1" t="s">
        <v>19</v>
      </c>
      <c r="J659" s="1" t="s">
        <v>46</v>
      </c>
      <c r="K659" s="1">
        <v>84</v>
      </c>
      <c r="L659" s="1">
        <v>9829</v>
      </c>
      <c r="M659" s="2">
        <f t="shared" si="163"/>
        <v>825636</v>
      </c>
      <c r="N659" s="1">
        <v>130780.74</v>
      </c>
      <c r="O659" s="1">
        <f t="shared" si="164"/>
        <v>956416.74</v>
      </c>
      <c r="P659" s="1">
        <v>7340</v>
      </c>
      <c r="Q659" s="1">
        <f t="shared" si="165"/>
        <v>949076.74</v>
      </c>
      <c r="R659" s="1">
        <v>397278</v>
      </c>
      <c r="S659" s="1">
        <f>U659*0.1</f>
        <v>52970.400000000001</v>
      </c>
      <c r="T659" s="1">
        <f t="shared" si="167"/>
        <v>79455.599999999977</v>
      </c>
      <c r="U659" s="1">
        <v>529704</v>
      </c>
      <c r="V659" s="1">
        <f t="shared" si="162"/>
        <v>419372.74</v>
      </c>
      <c r="W659" s="1">
        <v>4.9000000000000004</v>
      </c>
    </row>
    <row r="660" spans="1:23" x14ac:dyDescent="0.25">
      <c r="A660" s="1" t="s">
        <v>33</v>
      </c>
      <c r="B660" s="1" t="s">
        <v>28</v>
      </c>
      <c r="C660" s="1" t="s">
        <v>408</v>
      </c>
      <c r="D660" s="1" t="s">
        <v>78</v>
      </c>
      <c r="E660" s="1" t="s">
        <v>49</v>
      </c>
      <c r="F660" s="1" t="s">
        <v>59</v>
      </c>
      <c r="G660" s="1" t="s">
        <v>103</v>
      </c>
      <c r="H660" s="1" t="s">
        <v>399</v>
      </c>
      <c r="I660" s="1" t="s">
        <v>39</v>
      </c>
      <c r="J660" s="1" t="s">
        <v>26</v>
      </c>
      <c r="K660" s="1">
        <v>55</v>
      </c>
      <c r="L660" s="1">
        <v>32403</v>
      </c>
      <c r="M660" s="2">
        <f t="shared" si="163"/>
        <v>1782165</v>
      </c>
      <c r="N660" s="1">
        <v>282294.94</v>
      </c>
      <c r="O660" s="1">
        <f t="shared" si="164"/>
        <v>2064459.94</v>
      </c>
      <c r="P660" s="1">
        <v>6727</v>
      </c>
      <c r="Q660" s="1">
        <f t="shared" si="165"/>
        <v>2057732.94</v>
      </c>
      <c r="R660" s="1">
        <f t="shared" ref="R660:R661" si="173">0.7*U660</f>
        <v>882920.5</v>
      </c>
      <c r="S660" s="1">
        <f t="shared" si="171"/>
        <v>252263</v>
      </c>
      <c r="T660" s="1">
        <f t="shared" si="167"/>
        <v>126131.5</v>
      </c>
      <c r="U660" s="1">
        <v>1261315</v>
      </c>
      <c r="V660" s="1">
        <f t="shared" si="162"/>
        <v>796417.94</v>
      </c>
      <c r="W660" s="1">
        <v>3.7</v>
      </c>
    </row>
    <row r="661" spans="1:23" x14ac:dyDescent="0.25">
      <c r="A661" s="1" t="s">
        <v>156</v>
      </c>
      <c r="B661" s="1" t="s">
        <v>58</v>
      </c>
      <c r="C661" s="1" t="s">
        <v>408</v>
      </c>
      <c r="D661" s="1" t="s">
        <v>15</v>
      </c>
      <c r="E661" s="1" t="s">
        <v>16</v>
      </c>
      <c r="F661" s="1" t="s">
        <v>59</v>
      </c>
      <c r="G661" s="1" t="s">
        <v>85</v>
      </c>
      <c r="H661" s="1" t="s">
        <v>398</v>
      </c>
      <c r="I661" s="1" t="s">
        <v>39</v>
      </c>
      <c r="J661" s="1" t="s">
        <v>46</v>
      </c>
      <c r="K661" s="1">
        <v>16</v>
      </c>
      <c r="L661" s="1">
        <v>29592</v>
      </c>
      <c r="M661" s="2">
        <f t="shared" si="163"/>
        <v>473472</v>
      </c>
      <c r="N661" s="1">
        <v>74997.960000000006</v>
      </c>
      <c r="O661" s="1">
        <f t="shared" si="164"/>
        <v>548469.96</v>
      </c>
      <c r="P661" s="1">
        <v>5128</v>
      </c>
      <c r="Q661" s="1">
        <f t="shared" si="165"/>
        <v>543341.96</v>
      </c>
      <c r="R661" s="1">
        <f t="shared" si="173"/>
        <v>263121.59999999998</v>
      </c>
      <c r="S661" s="1">
        <f t="shared" si="171"/>
        <v>75177.600000000006</v>
      </c>
      <c r="T661" s="1">
        <f t="shared" si="167"/>
        <v>37588.800000000047</v>
      </c>
      <c r="U661" s="1">
        <v>375888</v>
      </c>
      <c r="V661" s="1">
        <f t="shared" si="162"/>
        <v>167453.95999999996</v>
      </c>
      <c r="W661" s="1">
        <v>5</v>
      </c>
    </row>
    <row r="662" spans="1:23" x14ac:dyDescent="0.25">
      <c r="A662" s="1" t="s">
        <v>367</v>
      </c>
      <c r="B662" s="1" t="s">
        <v>109</v>
      </c>
      <c r="C662" s="1" t="s">
        <v>408</v>
      </c>
      <c r="D662" s="1" t="s">
        <v>22</v>
      </c>
      <c r="E662" s="1" t="s">
        <v>23</v>
      </c>
      <c r="F662" s="1" t="s">
        <v>17</v>
      </c>
      <c r="G662" s="1" t="s">
        <v>18</v>
      </c>
      <c r="H662" s="1" t="s">
        <v>398</v>
      </c>
      <c r="I662" s="1" t="s">
        <v>397</v>
      </c>
      <c r="J662" s="1" t="s">
        <v>46</v>
      </c>
      <c r="K662" s="1">
        <v>123</v>
      </c>
      <c r="L662" s="1">
        <v>18428</v>
      </c>
      <c r="M662" s="2">
        <f t="shared" si="163"/>
        <v>2266644</v>
      </c>
      <c r="N662" s="1">
        <v>375356.25</v>
      </c>
      <c r="O662" s="1">
        <f t="shared" si="164"/>
        <v>2642000.25</v>
      </c>
      <c r="P662" s="1">
        <v>9181</v>
      </c>
      <c r="Q662" s="1">
        <f t="shared" si="165"/>
        <v>2632819.25</v>
      </c>
      <c r="R662" s="1">
        <f>0.62*U662</f>
        <v>975746.7</v>
      </c>
      <c r="S662" s="1">
        <f>U662*0.2</f>
        <v>314757</v>
      </c>
      <c r="T662" s="1">
        <f t="shared" si="167"/>
        <v>283281.30000000005</v>
      </c>
      <c r="U662" s="1">
        <v>1573785</v>
      </c>
      <c r="V662" s="1">
        <f t="shared" si="162"/>
        <v>1059034.25</v>
      </c>
      <c r="W662" s="1">
        <v>4.2</v>
      </c>
    </row>
    <row r="663" spans="1:23" x14ac:dyDescent="0.25">
      <c r="A663" s="1" t="s">
        <v>365</v>
      </c>
      <c r="B663" s="1" t="s">
        <v>58</v>
      </c>
      <c r="C663" s="1" t="s">
        <v>408</v>
      </c>
      <c r="D663" s="1" t="s">
        <v>78</v>
      </c>
      <c r="E663" s="1" t="s">
        <v>49</v>
      </c>
      <c r="F663" s="1" t="s">
        <v>29</v>
      </c>
      <c r="G663" s="1" t="s">
        <v>91</v>
      </c>
      <c r="H663" s="1" t="s">
        <v>399</v>
      </c>
      <c r="I663" s="1" t="s">
        <v>19</v>
      </c>
      <c r="J663" s="1" t="s">
        <v>26</v>
      </c>
      <c r="K663" s="1">
        <v>161</v>
      </c>
      <c r="L663" s="1">
        <v>27230</v>
      </c>
      <c r="M663" s="2">
        <f t="shared" si="163"/>
        <v>4384030</v>
      </c>
      <c r="N663" s="1">
        <v>789125.4</v>
      </c>
      <c r="O663" s="1">
        <f t="shared" si="164"/>
        <v>5173155.4000000004</v>
      </c>
      <c r="P663" s="1">
        <v>9408</v>
      </c>
      <c r="Q663" s="1">
        <f t="shared" si="165"/>
        <v>5163747.4000000004</v>
      </c>
      <c r="R663" s="1">
        <v>2072915.25</v>
      </c>
      <c r="S663" s="1">
        <f t="shared" ref="S663:S664" si="174">U663*0.1</f>
        <v>276388.7</v>
      </c>
      <c r="T663" s="1">
        <f t="shared" si="167"/>
        <v>414583.04999999981</v>
      </c>
      <c r="U663" s="1">
        <v>2763887</v>
      </c>
      <c r="V663" s="1">
        <f t="shared" si="162"/>
        <v>2399860.4000000004</v>
      </c>
      <c r="W663" s="1">
        <v>4.7</v>
      </c>
    </row>
    <row r="664" spans="1:23" x14ac:dyDescent="0.25">
      <c r="A664" s="1" t="s">
        <v>110</v>
      </c>
      <c r="B664" s="1" t="s">
        <v>32</v>
      </c>
      <c r="C664" s="1" t="s">
        <v>408</v>
      </c>
      <c r="D664" s="1" t="s">
        <v>48</v>
      </c>
      <c r="E664" s="1" t="s">
        <v>49</v>
      </c>
      <c r="F664" s="1" t="s">
        <v>29</v>
      </c>
      <c r="G664" s="1" t="s">
        <v>91</v>
      </c>
      <c r="H664" s="1" t="s">
        <v>399</v>
      </c>
      <c r="I664" s="1" t="s">
        <v>396</v>
      </c>
      <c r="J664" s="1" t="s">
        <v>26</v>
      </c>
      <c r="K664" s="1">
        <v>134</v>
      </c>
      <c r="L664" s="1">
        <v>30034</v>
      </c>
      <c r="M664" s="2">
        <f t="shared" si="163"/>
        <v>4024556</v>
      </c>
      <c r="N664" s="1">
        <v>615757.06999999995</v>
      </c>
      <c r="O664" s="1">
        <f t="shared" si="164"/>
        <v>4640313.07</v>
      </c>
      <c r="P664" s="1">
        <v>5869</v>
      </c>
      <c r="Q664" s="1">
        <f t="shared" si="165"/>
        <v>4634444.07</v>
      </c>
      <c r="R664" s="1">
        <v>720953.5</v>
      </c>
      <c r="S664" s="1">
        <f t="shared" si="174"/>
        <v>288381.40000000002</v>
      </c>
      <c r="T664" s="1">
        <f t="shared" si="167"/>
        <v>1874479.1</v>
      </c>
      <c r="U664" s="1">
        <v>2883814</v>
      </c>
      <c r="V664" s="1">
        <f t="shared" si="162"/>
        <v>1750630.0700000003</v>
      </c>
      <c r="W664" s="1">
        <v>3.9</v>
      </c>
    </row>
    <row r="665" spans="1:23" x14ac:dyDescent="0.25">
      <c r="A665" s="1" t="s">
        <v>368</v>
      </c>
      <c r="B665" s="1" t="s">
        <v>28</v>
      </c>
      <c r="C665" s="1" t="s">
        <v>408</v>
      </c>
      <c r="D665" s="1" t="s">
        <v>74</v>
      </c>
      <c r="E665" s="1" t="s">
        <v>56</v>
      </c>
      <c r="F665" s="1" t="s">
        <v>59</v>
      </c>
      <c r="G665" s="1" t="s">
        <v>85</v>
      </c>
      <c r="H665" s="1" t="s">
        <v>398</v>
      </c>
      <c r="I665" s="1" t="s">
        <v>19</v>
      </c>
      <c r="J665" s="1" t="s">
        <v>26</v>
      </c>
      <c r="K665" s="1">
        <v>105</v>
      </c>
      <c r="L665" s="1">
        <v>16384</v>
      </c>
      <c r="M665" s="2">
        <f t="shared" si="163"/>
        <v>1720320</v>
      </c>
      <c r="N665" s="1">
        <v>272498.69</v>
      </c>
      <c r="O665" s="1">
        <f t="shared" si="164"/>
        <v>1992818.69</v>
      </c>
      <c r="P665" s="1">
        <v>8465</v>
      </c>
      <c r="Q665" s="1">
        <f t="shared" si="165"/>
        <v>1984353.69</v>
      </c>
      <c r="R665" s="1">
        <f t="shared" ref="R665:R666" si="175">0.7*U665</f>
        <v>779614.5</v>
      </c>
      <c r="S665" s="1">
        <f t="shared" si="171"/>
        <v>222747</v>
      </c>
      <c r="T665" s="1">
        <f t="shared" si="167"/>
        <v>111373.5</v>
      </c>
      <c r="U665" s="1">
        <v>1113735</v>
      </c>
      <c r="V665" s="1">
        <f t="shared" si="162"/>
        <v>870618.69</v>
      </c>
      <c r="W665" s="1">
        <v>5</v>
      </c>
    </row>
    <row r="666" spans="1:23" x14ac:dyDescent="0.25">
      <c r="A666" s="1" t="s">
        <v>164</v>
      </c>
      <c r="B666" s="1" t="s">
        <v>14</v>
      </c>
      <c r="C666" s="1" t="s">
        <v>408</v>
      </c>
      <c r="D666" s="1" t="s">
        <v>42</v>
      </c>
      <c r="E666" s="1" t="s">
        <v>43</v>
      </c>
      <c r="F666" s="1" t="s">
        <v>59</v>
      </c>
      <c r="G666" s="1" t="s">
        <v>85</v>
      </c>
      <c r="H666" s="1" t="s">
        <v>399</v>
      </c>
      <c r="I666" s="1" t="s">
        <v>396</v>
      </c>
      <c r="J666" s="1" t="s">
        <v>26</v>
      </c>
      <c r="K666" s="1">
        <v>184</v>
      </c>
      <c r="L666" s="1">
        <v>38739</v>
      </c>
      <c r="M666" s="2">
        <f t="shared" si="163"/>
        <v>7127976</v>
      </c>
      <c r="N666" s="1">
        <v>1218883.8999999999</v>
      </c>
      <c r="O666" s="1">
        <f t="shared" si="164"/>
        <v>8346859.9000000004</v>
      </c>
      <c r="P666" s="1">
        <v>7490</v>
      </c>
      <c r="Q666" s="1">
        <f t="shared" si="165"/>
        <v>8339369.9000000004</v>
      </c>
      <c r="R666" s="1">
        <f t="shared" si="175"/>
        <v>3182776.8</v>
      </c>
      <c r="S666" s="1">
        <f t="shared" si="171"/>
        <v>909364.8</v>
      </c>
      <c r="T666" s="1">
        <f t="shared" si="167"/>
        <v>454682.40000000037</v>
      </c>
      <c r="U666" s="1">
        <v>4546824</v>
      </c>
      <c r="V666" s="1">
        <f t="shared" si="162"/>
        <v>3792545.9000000004</v>
      </c>
      <c r="W666" s="1">
        <v>4.7</v>
      </c>
    </row>
    <row r="667" spans="1:23" x14ac:dyDescent="0.25">
      <c r="A667" s="1" t="s">
        <v>157</v>
      </c>
      <c r="B667" s="1" t="s">
        <v>34</v>
      </c>
      <c r="C667" s="1" t="s">
        <v>408</v>
      </c>
      <c r="D667" s="1" t="s">
        <v>74</v>
      </c>
      <c r="E667" s="1" t="s">
        <v>56</v>
      </c>
      <c r="F667" s="1" t="s">
        <v>29</v>
      </c>
      <c r="G667" s="1" t="s">
        <v>87</v>
      </c>
      <c r="H667" s="1" t="s">
        <v>398</v>
      </c>
      <c r="I667" s="1" t="s">
        <v>397</v>
      </c>
      <c r="J667" s="1" t="s">
        <v>26</v>
      </c>
      <c r="K667" s="1">
        <v>159</v>
      </c>
      <c r="L667" s="1">
        <v>20919</v>
      </c>
      <c r="M667" s="2">
        <f t="shared" si="163"/>
        <v>3326121</v>
      </c>
      <c r="N667" s="1">
        <v>568766.68999999994</v>
      </c>
      <c r="O667" s="1">
        <f t="shared" si="164"/>
        <v>3894887.69</v>
      </c>
      <c r="P667" s="1">
        <v>6880</v>
      </c>
      <c r="Q667" s="1">
        <f t="shared" si="165"/>
        <v>3888007.69</v>
      </c>
      <c r="R667" s="1">
        <v>1580181.75</v>
      </c>
      <c r="S667" s="1">
        <f>U667*0.1</f>
        <v>210690.90000000002</v>
      </c>
      <c r="T667" s="1">
        <f t="shared" si="167"/>
        <v>316036.35000000009</v>
      </c>
      <c r="U667" s="1">
        <v>2106909</v>
      </c>
      <c r="V667" s="1">
        <f t="shared" si="162"/>
        <v>1781098.69</v>
      </c>
      <c r="W667" s="1">
        <v>4.0999999999999996</v>
      </c>
    </row>
    <row r="668" spans="1:23" x14ac:dyDescent="0.25">
      <c r="A668" s="1" t="s">
        <v>369</v>
      </c>
      <c r="B668" s="1" t="s">
        <v>21</v>
      </c>
      <c r="C668" s="1" t="s">
        <v>408</v>
      </c>
      <c r="D668" s="1" t="s">
        <v>55</v>
      </c>
      <c r="E668" s="1" t="s">
        <v>56</v>
      </c>
      <c r="F668" s="1" t="s">
        <v>17</v>
      </c>
      <c r="G668" s="1" t="s">
        <v>35</v>
      </c>
      <c r="H668" s="1" t="s">
        <v>398</v>
      </c>
      <c r="I668" s="1" t="s">
        <v>19</v>
      </c>
      <c r="J668" s="1" t="s">
        <v>26</v>
      </c>
      <c r="K668" s="1">
        <v>199</v>
      </c>
      <c r="L668" s="1">
        <v>37626</v>
      </c>
      <c r="M668" s="2">
        <f t="shared" si="163"/>
        <v>7487574</v>
      </c>
      <c r="N668" s="1">
        <v>1145598.82</v>
      </c>
      <c r="O668" s="1">
        <f t="shared" si="164"/>
        <v>8633172.8200000003</v>
      </c>
      <c r="P668" s="1">
        <v>9078</v>
      </c>
      <c r="Q668" s="1">
        <f t="shared" si="165"/>
        <v>8624094.8200000003</v>
      </c>
      <c r="R668" s="1">
        <f t="shared" ref="R668:R670" si="176">0.62*U668</f>
        <v>3004056.2399999998</v>
      </c>
      <c r="S668" s="1">
        <f t="shared" ref="S668:S670" si="177">U668*0.2</f>
        <v>969050.4</v>
      </c>
      <c r="T668" s="1">
        <f t="shared" si="167"/>
        <v>872145.36000000034</v>
      </c>
      <c r="U668" s="1">
        <v>4845252</v>
      </c>
      <c r="V668" s="1">
        <f t="shared" si="162"/>
        <v>3778842.8200000003</v>
      </c>
      <c r="W668" s="1">
        <v>4.5999999999999996</v>
      </c>
    </row>
    <row r="669" spans="1:23" x14ac:dyDescent="0.25">
      <c r="A669" s="1" t="s">
        <v>370</v>
      </c>
      <c r="B669" s="1" t="s">
        <v>32</v>
      </c>
      <c r="C669" s="1" t="s">
        <v>408</v>
      </c>
      <c r="D669" s="1" t="s">
        <v>15</v>
      </c>
      <c r="E669" s="1" t="s">
        <v>16</v>
      </c>
      <c r="F669" s="1" t="s">
        <v>17</v>
      </c>
      <c r="G669" s="1" t="s">
        <v>35</v>
      </c>
      <c r="H669" s="1" t="s">
        <v>398</v>
      </c>
      <c r="I669" s="1" t="s">
        <v>19</v>
      </c>
      <c r="J669" s="1" t="s">
        <v>26</v>
      </c>
      <c r="K669" s="1">
        <v>109</v>
      </c>
      <c r="L669" s="1">
        <v>28322</v>
      </c>
      <c r="M669" s="2">
        <f t="shared" si="163"/>
        <v>3087098</v>
      </c>
      <c r="N669" s="1">
        <v>472325.99</v>
      </c>
      <c r="O669" s="1">
        <f t="shared" si="164"/>
        <v>3559423.99</v>
      </c>
      <c r="P669" s="1">
        <v>8446</v>
      </c>
      <c r="Q669" s="1">
        <f t="shared" si="165"/>
        <v>3550977.99</v>
      </c>
      <c r="R669" s="1">
        <f t="shared" si="176"/>
        <v>1391269.46</v>
      </c>
      <c r="S669" s="1">
        <f t="shared" si="177"/>
        <v>448796.60000000003</v>
      </c>
      <c r="T669" s="1">
        <f t="shared" si="167"/>
        <v>403916.93999999994</v>
      </c>
      <c r="U669" s="1">
        <v>2243983</v>
      </c>
      <c r="V669" s="1">
        <f t="shared" si="162"/>
        <v>1306994.9900000002</v>
      </c>
      <c r="W669" s="1">
        <v>4.7</v>
      </c>
    </row>
    <row r="670" spans="1:23" x14ac:dyDescent="0.25">
      <c r="A670" s="1" t="s">
        <v>178</v>
      </c>
      <c r="B670" s="1" t="s">
        <v>109</v>
      </c>
      <c r="C670" s="1" t="s">
        <v>408</v>
      </c>
      <c r="D670" s="1" t="s">
        <v>22</v>
      </c>
      <c r="E670" s="1" t="s">
        <v>23</v>
      </c>
      <c r="F670" s="1" t="s">
        <v>17</v>
      </c>
      <c r="G670" s="1" t="s">
        <v>18</v>
      </c>
      <c r="H670" s="1" t="s">
        <v>398</v>
      </c>
      <c r="I670" s="1" t="s">
        <v>397</v>
      </c>
      <c r="J670" s="1" t="s">
        <v>26</v>
      </c>
      <c r="K670" s="1">
        <v>86</v>
      </c>
      <c r="L670" s="1">
        <v>17210</v>
      </c>
      <c r="M670" s="2">
        <f t="shared" si="163"/>
        <v>1480060</v>
      </c>
      <c r="N670" s="1">
        <v>226449.18</v>
      </c>
      <c r="O670" s="1">
        <f t="shared" si="164"/>
        <v>1706509.18</v>
      </c>
      <c r="P670" s="1">
        <v>8944</v>
      </c>
      <c r="Q670" s="1">
        <f t="shared" si="165"/>
        <v>1697565.18</v>
      </c>
      <c r="R670" s="1">
        <f t="shared" si="176"/>
        <v>750798.92</v>
      </c>
      <c r="S670" s="1">
        <f t="shared" si="177"/>
        <v>242193.2</v>
      </c>
      <c r="T670" s="1">
        <f t="shared" si="167"/>
        <v>217973.88</v>
      </c>
      <c r="U670" s="1">
        <v>1210966</v>
      </c>
      <c r="V670" s="1">
        <f t="shared" si="162"/>
        <v>486599.17999999993</v>
      </c>
      <c r="W670" s="1">
        <v>4.7</v>
      </c>
    </row>
    <row r="671" spans="1:23" x14ac:dyDescent="0.25">
      <c r="A671" s="1" t="s">
        <v>248</v>
      </c>
      <c r="B671" s="1" t="s">
        <v>34</v>
      </c>
      <c r="C671" s="1" t="s">
        <v>408</v>
      </c>
      <c r="D671" s="1" t="s">
        <v>62</v>
      </c>
      <c r="E671" s="1" t="s">
        <v>43</v>
      </c>
      <c r="F671" s="1" t="s">
        <v>59</v>
      </c>
      <c r="G671" s="1" t="s">
        <v>85</v>
      </c>
      <c r="H671" s="1" t="s">
        <v>398</v>
      </c>
      <c r="I671" s="1" t="s">
        <v>396</v>
      </c>
      <c r="J671" s="1" t="s">
        <v>46</v>
      </c>
      <c r="K671" s="1">
        <v>46</v>
      </c>
      <c r="L671" s="1">
        <v>32701</v>
      </c>
      <c r="M671" s="2">
        <f t="shared" si="163"/>
        <v>1504246</v>
      </c>
      <c r="N671" s="1">
        <v>230149.64</v>
      </c>
      <c r="O671" s="1">
        <f t="shared" si="164"/>
        <v>1734395.6400000001</v>
      </c>
      <c r="P671" s="1">
        <v>9610</v>
      </c>
      <c r="Q671" s="1">
        <f t="shared" si="165"/>
        <v>1724785.6400000001</v>
      </c>
      <c r="R671" s="1">
        <f t="shared" ref="R671:R672" si="178">0.7*U671</f>
        <v>750066.79999999993</v>
      </c>
      <c r="S671" s="1">
        <f t="shared" si="171"/>
        <v>214304.80000000002</v>
      </c>
      <c r="T671" s="1">
        <f t="shared" si="167"/>
        <v>107152.40000000002</v>
      </c>
      <c r="U671" s="1">
        <v>1071524</v>
      </c>
      <c r="V671" s="1">
        <f t="shared" si="162"/>
        <v>653261.64000000013</v>
      </c>
      <c r="W671" s="1">
        <v>4.7</v>
      </c>
    </row>
    <row r="672" spans="1:23" x14ac:dyDescent="0.25">
      <c r="A672" s="1" t="s">
        <v>106</v>
      </c>
      <c r="B672" s="1" t="s">
        <v>37</v>
      </c>
      <c r="C672" s="1" t="s">
        <v>408</v>
      </c>
      <c r="D672" s="1" t="s">
        <v>78</v>
      </c>
      <c r="E672" s="1" t="s">
        <v>49</v>
      </c>
      <c r="F672" s="1" t="s">
        <v>59</v>
      </c>
      <c r="G672" s="1" t="s">
        <v>103</v>
      </c>
      <c r="H672" s="1" t="s">
        <v>399</v>
      </c>
      <c r="I672" s="1" t="s">
        <v>19</v>
      </c>
      <c r="J672" s="1" t="s">
        <v>26</v>
      </c>
      <c r="K672" s="1">
        <v>42</v>
      </c>
      <c r="L672" s="1">
        <v>4946</v>
      </c>
      <c r="M672" s="2">
        <f t="shared" si="163"/>
        <v>207732</v>
      </c>
      <c r="N672" s="1">
        <v>31783</v>
      </c>
      <c r="O672" s="1">
        <f t="shared" si="164"/>
        <v>239515</v>
      </c>
      <c r="P672" s="1">
        <v>6492</v>
      </c>
      <c r="Q672" s="1">
        <f t="shared" si="165"/>
        <v>233023</v>
      </c>
      <c r="R672" s="1">
        <f t="shared" si="178"/>
        <v>114953.99999999999</v>
      </c>
      <c r="S672" s="1">
        <f t="shared" si="171"/>
        <v>32844</v>
      </c>
      <c r="T672" s="1">
        <f t="shared" si="167"/>
        <v>16422.000000000015</v>
      </c>
      <c r="U672" s="1">
        <v>164220</v>
      </c>
      <c r="V672" s="1">
        <f t="shared" si="162"/>
        <v>68803</v>
      </c>
      <c r="W672" s="1">
        <v>4.7</v>
      </c>
    </row>
    <row r="673" spans="1:23" x14ac:dyDescent="0.25">
      <c r="A673" s="1" t="s">
        <v>122</v>
      </c>
      <c r="B673" s="1" t="s">
        <v>34</v>
      </c>
      <c r="C673" s="1" t="s">
        <v>408</v>
      </c>
      <c r="D673" s="1" t="s">
        <v>48</v>
      </c>
      <c r="E673" s="1" t="s">
        <v>49</v>
      </c>
      <c r="F673" s="1" t="s">
        <v>29</v>
      </c>
      <c r="G673" s="1" t="s">
        <v>87</v>
      </c>
      <c r="H673" s="1" t="s">
        <v>399</v>
      </c>
      <c r="I673" s="1" t="s">
        <v>396</v>
      </c>
      <c r="J673" s="1" t="s">
        <v>26</v>
      </c>
      <c r="K673" s="1">
        <v>86</v>
      </c>
      <c r="L673" s="1">
        <v>33615</v>
      </c>
      <c r="M673" s="2">
        <f t="shared" si="163"/>
        <v>2890890</v>
      </c>
      <c r="N673" s="1">
        <v>494342.19</v>
      </c>
      <c r="O673" s="1">
        <f t="shared" si="164"/>
        <v>3385232.19</v>
      </c>
      <c r="P673" s="1">
        <v>8797</v>
      </c>
      <c r="Q673" s="1">
        <f t="shared" si="165"/>
        <v>3376435.19</v>
      </c>
      <c r="R673" s="1">
        <v>1038751</v>
      </c>
      <c r="S673" s="1">
        <f t="shared" ref="S673:S674" si="179">U673*0.1</f>
        <v>207750.2</v>
      </c>
      <c r="T673" s="1">
        <f t="shared" si="167"/>
        <v>831000.8</v>
      </c>
      <c r="U673" s="1">
        <v>2077502</v>
      </c>
      <c r="V673" s="1">
        <f t="shared" si="162"/>
        <v>1298933.19</v>
      </c>
      <c r="W673" s="1">
        <v>4.7</v>
      </c>
    </row>
    <row r="674" spans="1:23" x14ac:dyDescent="0.25">
      <c r="A674" s="1" t="s">
        <v>230</v>
      </c>
      <c r="B674" s="1" t="s">
        <v>37</v>
      </c>
      <c r="C674" s="1" t="s">
        <v>408</v>
      </c>
      <c r="D674" s="1" t="s">
        <v>74</v>
      </c>
      <c r="E674" s="1" t="s">
        <v>56</v>
      </c>
      <c r="F674" s="1" t="s">
        <v>29</v>
      </c>
      <c r="G674" s="1" t="s">
        <v>53</v>
      </c>
      <c r="H674" s="1" t="s">
        <v>399</v>
      </c>
      <c r="I674" s="1" t="s">
        <v>397</v>
      </c>
      <c r="J674" s="1" t="s">
        <v>46</v>
      </c>
      <c r="K674" s="1">
        <v>183</v>
      </c>
      <c r="L674" s="1">
        <v>16975</v>
      </c>
      <c r="M674" s="2">
        <f t="shared" si="163"/>
        <v>3106425</v>
      </c>
      <c r="N674" s="1">
        <v>514423.98</v>
      </c>
      <c r="O674" s="1">
        <f t="shared" si="164"/>
        <v>3620848.98</v>
      </c>
      <c r="P674" s="1">
        <v>8078</v>
      </c>
      <c r="Q674" s="1">
        <f t="shared" si="165"/>
        <v>3612770.98</v>
      </c>
      <c r="R674" s="1">
        <v>1263157.5</v>
      </c>
      <c r="S674" s="1">
        <f t="shared" si="179"/>
        <v>252631.5</v>
      </c>
      <c r="T674" s="1">
        <f t="shared" si="167"/>
        <v>1010526</v>
      </c>
      <c r="U674" s="1">
        <v>2526315</v>
      </c>
      <c r="V674" s="1">
        <f t="shared" si="162"/>
        <v>1086455.98</v>
      </c>
      <c r="W674" s="1">
        <v>4.4000000000000004</v>
      </c>
    </row>
    <row r="675" spans="1:23" x14ac:dyDescent="0.25">
      <c r="A675" s="1" t="s">
        <v>279</v>
      </c>
      <c r="B675" s="1" t="s">
        <v>28</v>
      </c>
      <c r="C675" s="1" t="s">
        <v>408</v>
      </c>
      <c r="D675" s="1" t="s">
        <v>22</v>
      </c>
      <c r="E675" s="1" t="s">
        <v>23</v>
      </c>
      <c r="F675" s="1" t="s">
        <v>24</v>
      </c>
      <c r="G675" s="1" t="s">
        <v>25</v>
      </c>
      <c r="H675" s="1" t="s">
        <v>398</v>
      </c>
      <c r="I675" s="1" t="s">
        <v>396</v>
      </c>
      <c r="J675" s="1" t="s">
        <v>46</v>
      </c>
      <c r="K675" s="1">
        <v>156</v>
      </c>
      <c r="L675" s="1">
        <v>27119</v>
      </c>
      <c r="M675" s="2">
        <f t="shared" si="163"/>
        <v>4230564</v>
      </c>
      <c r="N675" s="1">
        <v>761501.52</v>
      </c>
      <c r="O675" s="1">
        <f t="shared" si="164"/>
        <v>4992065.5199999996</v>
      </c>
      <c r="P675" s="1">
        <v>8783</v>
      </c>
      <c r="Q675" s="1">
        <f t="shared" si="165"/>
        <v>4983282.5199999996</v>
      </c>
      <c r="R675" s="1">
        <v>1551654</v>
      </c>
      <c r="S675" s="1">
        <f t="shared" si="171"/>
        <v>620661.6</v>
      </c>
      <c r="T675" s="1">
        <f t="shared" si="167"/>
        <v>930992.39999999991</v>
      </c>
      <c r="U675" s="1">
        <v>3103308</v>
      </c>
      <c r="V675" s="1">
        <f t="shared" si="162"/>
        <v>1879974.5199999996</v>
      </c>
      <c r="W675" s="1">
        <v>3.6</v>
      </c>
    </row>
    <row r="676" spans="1:23" x14ac:dyDescent="0.25">
      <c r="A676" s="1" t="s">
        <v>170</v>
      </c>
      <c r="B676" s="1" t="s">
        <v>41</v>
      </c>
      <c r="C676" s="1" t="s">
        <v>408</v>
      </c>
      <c r="D676" s="1" t="s">
        <v>48</v>
      </c>
      <c r="E676" s="1" t="s">
        <v>49</v>
      </c>
      <c r="F676" s="1" t="s">
        <v>24</v>
      </c>
      <c r="G676" s="1" t="s">
        <v>63</v>
      </c>
      <c r="H676" s="1" t="s">
        <v>398</v>
      </c>
      <c r="I676" s="1" t="s">
        <v>396</v>
      </c>
      <c r="J676" s="1" t="s">
        <v>26</v>
      </c>
      <c r="K676" s="1">
        <v>69</v>
      </c>
      <c r="L676" s="1">
        <v>23732</v>
      </c>
      <c r="M676" s="2">
        <f t="shared" si="163"/>
        <v>1637508</v>
      </c>
      <c r="N676" s="1">
        <v>294751.44</v>
      </c>
      <c r="O676" s="1">
        <f t="shared" si="164"/>
        <v>1932259.44</v>
      </c>
      <c r="P676" s="1">
        <v>6561</v>
      </c>
      <c r="Q676" s="1">
        <f t="shared" si="165"/>
        <v>1925698.44</v>
      </c>
      <c r="R676" s="1">
        <v>626830.5</v>
      </c>
      <c r="S676" s="1">
        <f t="shared" si="171"/>
        <v>250732.2</v>
      </c>
      <c r="T676" s="1">
        <f t="shared" si="167"/>
        <v>376098.30000000005</v>
      </c>
      <c r="U676" s="1">
        <v>1253661</v>
      </c>
      <c r="V676" s="1">
        <f t="shared" si="162"/>
        <v>672037.44</v>
      </c>
      <c r="W676" s="1">
        <v>3.9</v>
      </c>
    </row>
    <row r="677" spans="1:23" x14ac:dyDescent="0.25">
      <c r="A677" s="1" t="s">
        <v>33</v>
      </c>
      <c r="B677" s="1" t="s">
        <v>37</v>
      </c>
      <c r="C677" s="1" t="s">
        <v>408</v>
      </c>
      <c r="D677" s="1" t="s">
        <v>55</v>
      </c>
      <c r="E677" s="1" t="s">
        <v>56</v>
      </c>
      <c r="F677" s="1" t="s">
        <v>29</v>
      </c>
      <c r="G677" s="1" t="s">
        <v>30</v>
      </c>
      <c r="H677" s="1" t="s">
        <v>399</v>
      </c>
      <c r="I677" s="1" t="s">
        <v>396</v>
      </c>
      <c r="J677" s="1" t="s">
        <v>46</v>
      </c>
      <c r="K677" s="1">
        <v>54</v>
      </c>
      <c r="L677" s="1">
        <v>9976</v>
      </c>
      <c r="M677" s="2">
        <f t="shared" si="163"/>
        <v>538704</v>
      </c>
      <c r="N677" s="1">
        <v>96966.720000000001</v>
      </c>
      <c r="O677" s="1">
        <f t="shared" si="164"/>
        <v>635670.72</v>
      </c>
      <c r="P677" s="1">
        <v>9108</v>
      </c>
      <c r="Q677" s="1">
        <f t="shared" si="165"/>
        <v>626562.72</v>
      </c>
      <c r="R677" s="1">
        <v>313915.5</v>
      </c>
      <c r="S677" s="1">
        <f>U677*0.1</f>
        <v>41855.4</v>
      </c>
      <c r="T677" s="1">
        <f t="shared" si="167"/>
        <v>62783.099999999977</v>
      </c>
      <c r="U677" s="1">
        <v>418554</v>
      </c>
      <c r="V677" s="1">
        <f t="shared" si="162"/>
        <v>208008.71999999997</v>
      </c>
      <c r="W677" s="1">
        <v>4.2</v>
      </c>
    </row>
    <row r="678" spans="1:23" x14ac:dyDescent="0.25">
      <c r="A678" s="1" t="s">
        <v>312</v>
      </c>
      <c r="B678" s="1" t="s">
        <v>41</v>
      </c>
      <c r="C678" s="1" t="s">
        <v>408</v>
      </c>
      <c r="D678" s="1" t="s">
        <v>48</v>
      </c>
      <c r="E678" s="1" t="s">
        <v>49</v>
      </c>
      <c r="F678" s="1" t="s">
        <v>59</v>
      </c>
      <c r="G678" s="1" t="s">
        <v>85</v>
      </c>
      <c r="H678" s="1" t="s">
        <v>399</v>
      </c>
      <c r="I678" s="1" t="s">
        <v>397</v>
      </c>
      <c r="J678" s="1" t="s">
        <v>46</v>
      </c>
      <c r="K678" s="1">
        <v>46</v>
      </c>
      <c r="L678" s="1">
        <v>30235</v>
      </c>
      <c r="M678" s="2">
        <f t="shared" si="163"/>
        <v>1390810</v>
      </c>
      <c r="N678" s="1">
        <v>250345.8</v>
      </c>
      <c r="O678" s="1">
        <f t="shared" si="164"/>
        <v>1641155.8</v>
      </c>
      <c r="P678" s="1">
        <v>8007</v>
      </c>
      <c r="Q678" s="1">
        <f t="shared" si="165"/>
        <v>1633148.8</v>
      </c>
      <c r="R678" s="1">
        <f t="shared" ref="R678:R680" si="180">0.7*U678</f>
        <v>752739.39999999991</v>
      </c>
      <c r="S678" s="1">
        <f t="shared" si="171"/>
        <v>215068.40000000002</v>
      </c>
      <c r="T678" s="1">
        <f t="shared" si="167"/>
        <v>107534.20000000007</v>
      </c>
      <c r="U678" s="1">
        <v>1075342</v>
      </c>
      <c r="V678" s="1">
        <f t="shared" si="162"/>
        <v>557806.80000000005</v>
      </c>
      <c r="W678" s="1">
        <v>5</v>
      </c>
    </row>
    <row r="679" spans="1:23" x14ac:dyDescent="0.25">
      <c r="A679" s="1" t="s">
        <v>135</v>
      </c>
      <c r="B679" s="1" t="s">
        <v>14</v>
      </c>
      <c r="C679" s="1" t="s">
        <v>408</v>
      </c>
      <c r="D679" s="1" t="s">
        <v>48</v>
      </c>
      <c r="E679" s="1" t="s">
        <v>49</v>
      </c>
      <c r="F679" s="1" t="s">
        <v>59</v>
      </c>
      <c r="G679" s="1" t="s">
        <v>103</v>
      </c>
      <c r="H679" s="1" t="s">
        <v>398</v>
      </c>
      <c r="I679" s="1" t="s">
        <v>396</v>
      </c>
      <c r="J679" s="1" t="s">
        <v>46</v>
      </c>
      <c r="K679" s="1">
        <v>35</v>
      </c>
      <c r="L679" s="1">
        <v>35210</v>
      </c>
      <c r="M679" s="2">
        <f t="shared" si="163"/>
        <v>1232350</v>
      </c>
      <c r="N679" s="1">
        <v>188549.55</v>
      </c>
      <c r="O679" s="1">
        <f t="shared" si="164"/>
        <v>1420899.55</v>
      </c>
      <c r="P679" s="1">
        <v>8276</v>
      </c>
      <c r="Q679" s="1">
        <f t="shared" si="165"/>
        <v>1412623.55</v>
      </c>
      <c r="R679" s="1">
        <f t="shared" si="180"/>
        <v>539294</v>
      </c>
      <c r="S679" s="1">
        <f t="shared" si="171"/>
        <v>154084</v>
      </c>
      <c r="T679" s="1">
        <f t="shared" si="167"/>
        <v>77042</v>
      </c>
      <c r="U679" s="1">
        <v>770420</v>
      </c>
      <c r="V679" s="1">
        <f t="shared" si="162"/>
        <v>642203.55000000005</v>
      </c>
      <c r="W679" s="1">
        <v>4.3</v>
      </c>
    </row>
    <row r="680" spans="1:23" x14ac:dyDescent="0.25">
      <c r="A680" s="1" t="s">
        <v>337</v>
      </c>
      <c r="B680" s="1" t="s">
        <v>69</v>
      </c>
      <c r="C680" s="1" t="s">
        <v>408</v>
      </c>
      <c r="D680" s="1" t="s">
        <v>48</v>
      </c>
      <c r="E680" s="1" t="s">
        <v>49</v>
      </c>
      <c r="F680" s="1" t="s">
        <v>59</v>
      </c>
      <c r="G680" s="1" t="s">
        <v>60</v>
      </c>
      <c r="H680" s="1" t="s">
        <v>399</v>
      </c>
      <c r="I680" s="1" t="s">
        <v>19</v>
      </c>
      <c r="J680" s="1" t="s">
        <v>26</v>
      </c>
      <c r="K680" s="1">
        <v>187</v>
      </c>
      <c r="L680" s="1">
        <v>4603</v>
      </c>
      <c r="M680" s="2">
        <f t="shared" si="163"/>
        <v>860761</v>
      </c>
      <c r="N680" s="1">
        <v>142542.01999999999</v>
      </c>
      <c r="O680" s="1">
        <f t="shared" si="164"/>
        <v>1003303.02</v>
      </c>
      <c r="P680" s="1">
        <v>7705</v>
      </c>
      <c r="Q680" s="1">
        <f t="shared" si="165"/>
        <v>995598.02</v>
      </c>
      <c r="R680" s="1">
        <f t="shared" si="180"/>
        <v>487602.49999999994</v>
      </c>
      <c r="S680" s="1">
        <f t="shared" si="171"/>
        <v>139315</v>
      </c>
      <c r="T680" s="1">
        <f t="shared" si="167"/>
        <v>69657.500000000058</v>
      </c>
      <c r="U680" s="1">
        <v>696575</v>
      </c>
      <c r="V680" s="1">
        <f t="shared" si="162"/>
        <v>299023.02</v>
      </c>
      <c r="W680" s="1">
        <v>3.8</v>
      </c>
    </row>
    <row r="681" spans="1:23" x14ac:dyDescent="0.25">
      <c r="A681" s="1" t="s">
        <v>316</v>
      </c>
      <c r="B681" s="1" t="s">
        <v>58</v>
      </c>
      <c r="C681" s="1" t="s">
        <v>408</v>
      </c>
      <c r="D681" s="1" t="s">
        <v>74</v>
      </c>
      <c r="E681" s="1" t="s">
        <v>56</v>
      </c>
      <c r="F681" s="1" t="s">
        <v>29</v>
      </c>
      <c r="G681" s="1" t="s">
        <v>97</v>
      </c>
      <c r="H681" s="1" t="s">
        <v>398</v>
      </c>
      <c r="I681" s="1" t="s">
        <v>19</v>
      </c>
      <c r="J681" s="1" t="s">
        <v>46</v>
      </c>
      <c r="K681" s="1">
        <v>172</v>
      </c>
      <c r="L681" s="1">
        <v>14198</v>
      </c>
      <c r="M681" s="2">
        <f t="shared" si="163"/>
        <v>2442056</v>
      </c>
      <c r="N681" s="1">
        <v>404404.47</v>
      </c>
      <c r="O681" s="1">
        <f t="shared" si="164"/>
        <v>2846460.4699999997</v>
      </c>
      <c r="P681" s="1">
        <v>9938</v>
      </c>
      <c r="Q681" s="1">
        <f t="shared" si="165"/>
        <v>2836522.4699999997</v>
      </c>
      <c r="R681" s="1">
        <v>994504</v>
      </c>
      <c r="S681" s="1">
        <f>U681*0.1</f>
        <v>198900.80000000002</v>
      </c>
      <c r="T681" s="1">
        <f t="shared" si="167"/>
        <v>795603.2</v>
      </c>
      <c r="U681" s="1">
        <v>1989008</v>
      </c>
      <c r="V681" s="1">
        <f t="shared" si="162"/>
        <v>847514.46999999974</v>
      </c>
      <c r="W681" s="1">
        <v>5</v>
      </c>
    </row>
    <row r="682" spans="1:23" x14ac:dyDescent="0.25">
      <c r="A682" s="1" t="s">
        <v>94</v>
      </c>
      <c r="B682" s="1" t="s">
        <v>69</v>
      </c>
      <c r="C682" s="1" t="s">
        <v>408</v>
      </c>
      <c r="D682" s="1" t="s">
        <v>52</v>
      </c>
      <c r="E682" s="1" t="s">
        <v>23</v>
      </c>
      <c r="F682" s="1" t="s">
        <v>24</v>
      </c>
      <c r="G682" s="1" t="s">
        <v>119</v>
      </c>
      <c r="H682" s="1" t="s">
        <v>399</v>
      </c>
      <c r="I682" s="1" t="s">
        <v>397</v>
      </c>
      <c r="J682" s="1" t="s">
        <v>46</v>
      </c>
      <c r="K682" s="1">
        <v>157</v>
      </c>
      <c r="L682" s="1">
        <v>29094</v>
      </c>
      <c r="M682" s="2">
        <f t="shared" si="163"/>
        <v>4567758</v>
      </c>
      <c r="N682" s="1">
        <v>723532.87</v>
      </c>
      <c r="O682" s="1">
        <f t="shared" si="164"/>
        <v>5291290.87</v>
      </c>
      <c r="P682" s="1">
        <v>5269</v>
      </c>
      <c r="Q682" s="1">
        <f t="shared" si="165"/>
        <v>5286021.87</v>
      </c>
      <c r="R682" s="1">
        <v>750303</v>
      </c>
      <c r="S682" s="1">
        <f t="shared" si="171"/>
        <v>600242.4</v>
      </c>
      <c r="T682" s="1">
        <f t="shared" si="167"/>
        <v>1650666.6</v>
      </c>
      <c r="U682" s="1">
        <v>3001212</v>
      </c>
      <c r="V682" s="1">
        <f t="shared" si="162"/>
        <v>2284809.87</v>
      </c>
      <c r="W682" s="1">
        <v>3.6</v>
      </c>
    </row>
    <row r="683" spans="1:23" x14ac:dyDescent="0.25">
      <c r="A683" s="1" t="s">
        <v>278</v>
      </c>
      <c r="B683" s="1" t="s">
        <v>37</v>
      </c>
      <c r="C683" s="1" t="s">
        <v>408</v>
      </c>
      <c r="D683" s="1" t="s">
        <v>78</v>
      </c>
      <c r="E683" s="1" t="s">
        <v>49</v>
      </c>
      <c r="F683" s="1" t="s">
        <v>29</v>
      </c>
      <c r="G683" s="1" t="s">
        <v>53</v>
      </c>
      <c r="H683" s="1" t="s">
        <v>398</v>
      </c>
      <c r="I683" s="1" t="s">
        <v>19</v>
      </c>
      <c r="J683" s="1" t="s">
        <v>26</v>
      </c>
      <c r="K683" s="1">
        <v>92</v>
      </c>
      <c r="L683" s="1">
        <v>36921</v>
      </c>
      <c r="M683" s="2">
        <f t="shared" si="163"/>
        <v>3396732</v>
      </c>
      <c r="N683" s="1">
        <v>538042.35</v>
      </c>
      <c r="O683" s="1">
        <f t="shared" si="164"/>
        <v>3934774.35</v>
      </c>
      <c r="P683" s="1">
        <v>7969</v>
      </c>
      <c r="Q683" s="1">
        <f t="shared" si="165"/>
        <v>3926805.35</v>
      </c>
      <c r="R683" s="1">
        <v>563316</v>
      </c>
      <c r="S683" s="1">
        <f>U683*0.1</f>
        <v>225326.40000000002</v>
      </c>
      <c r="T683" s="1">
        <f t="shared" si="167"/>
        <v>1464621.6</v>
      </c>
      <c r="U683" s="1">
        <v>2253264</v>
      </c>
      <c r="V683" s="1">
        <f t="shared" si="162"/>
        <v>1673541.35</v>
      </c>
      <c r="W683" s="1">
        <v>4.9000000000000004</v>
      </c>
    </row>
    <row r="684" spans="1:23" x14ac:dyDescent="0.25">
      <c r="A684" s="1" t="s">
        <v>360</v>
      </c>
      <c r="B684" s="1" t="s">
        <v>37</v>
      </c>
      <c r="C684" s="1" t="s">
        <v>408</v>
      </c>
      <c r="D684" s="1" t="s">
        <v>78</v>
      </c>
      <c r="E684" s="1" t="s">
        <v>49</v>
      </c>
      <c r="F684" s="1" t="s">
        <v>59</v>
      </c>
      <c r="G684" s="1" t="s">
        <v>85</v>
      </c>
      <c r="H684" s="1" t="s">
        <v>398</v>
      </c>
      <c r="I684" s="1" t="s">
        <v>396</v>
      </c>
      <c r="J684" s="1" t="s">
        <v>26</v>
      </c>
      <c r="K684" s="1">
        <v>27</v>
      </c>
      <c r="L684" s="1">
        <v>36238</v>
      </c>
      <c r="M684" s="2">
        <f t="shared" si="163"/>
        <v>978426</v>
      </c>
      <c r="N684" s="1">
        <v>176116.68</v>
      </c>
      <c r="O684" s="1">
        <f t="shared" si="164"/>
        <v>1154542.68</v>
      </c>
      <c r="P684" s="1">
        <v>5268</v>
      </c>
      <c r="Q684" s="1">
        <f t="shared" si="165"/>
        <v>1149274.68</v>
      </c>
      <c r="R684" s="1">
        <f>0.7*U684</f>
        <v>433773.89999999997</v>
      </c>
      <c r="S684" s="1">
        <f t="shared" si="171"/>
        <v>123935.40000000001</v>
      </c>
      <c r="T684" s="1">
        <f t="shared" si="167"/>
        <v>61967.700000000012</v>
      </c>
      <c r="U684" s="1">
        <v>619677</v>
      </c>
      <c r="V684" s="1">
        <f t="shared" si="162"/>
        <v>529597.67999999993</v>
      </c>
      <c r="W684" s="1">
        <v>4.9000000000000004</v>
      </c>
    </row>
    <row r="685" spans="1:23" x14ac:dyDescent="0.25">
      <c r="A685" s="1" t="s">
        <v>219</v>
      </c>
      <c r="B685" s="1" t="s">
        <v>14</v>
      </c>
      <c r="C685" s="1" t="s">
        <v>408</v>
      </c>
      <c r="D685" s="1" t="s">
        <v>55</v>
      </c>
      <c r="E685" s="1" t="s">
        <v>56</v>
      </c>
      <c r="F685" s="1" t="s">
        <v>24</v>
      </c>
      <c r="G685" s="1" t="s">
        <v>119</v>
      </c>
      <c r="H685" s="1" t="s">
        <v>399</v>
      </c>
      <c r="I685" s="1" t="s">
        <v>19</v>
      </c>
      <c r="J685" s="1" t="s">
        <v>46</v>
      </c>
      <c r="K685" s="1">
        <v>191</v>
      </c>
      <c r="L685" s="1">
        <v>6704</v>
      </c>
      <c r="M685" s="2">
        <f t="shared" si="163"/>
        <v>1280464</v>
      </c>
      <c r="N685" s="1">
        <v>218959.34</v>
      </c>
      <c r="O685" s="1">
        <f t="shared" si="164"/>
        <v>1499423.34</v>
      </c>
      <c r="P685" s="1">
        <v>5127</v>
      </c>
      <c r="Q685" s="1">
        <f t="shared" si="165"/>
        <v>1494296.34</v>
      </c>
      <c r="R685" s="1">
        <v>702784.5</v>
      </c>
      <c r="S685" s="1">
        <f t="shared" si="171"/>
        <v>187409.2</v>
      </c>
      <c r="T685" s="1">
        <f t="shared" si="167"/>
        <v>46852.300000000047</v>
      </c>
      <c r="U685" s="1">
        <v>937046</v>
      </c>
      <c r="V685" s="1">
        <f t="shared" si="162"/>
        <v>557250.34000000008</v>
      </c>
      <c r="W685" s="1">
        <v>4.7</v>
      </c>
    </row>
    <row r="686" spans="1:23" x14ac:dyDescent="0.25">
      <c r="A686" s="1" t="s">
        <v>263</v>
      </c>
      <c r="B686" s="1" t="s">
        <v>58</v>
      </c>
      <c r="C686" s="1" t="s">
        <v>408</v>
      </c>
      <c r="D686" s="1" t="s">
        <v>52</v>
      </c>
      <c r="E686" s="1" t="s">
        <v>23</v>
      </c>
      <c r="F686" s="1" t="s">
        <v>17</v>
      </c>
      <c r="G686" s="1" t="s">
        <v>72</v>
      </c>
      <c r="H686" s="1" t="s">
        <v>399</v>
      </c>
      <c r="I686" s="1" t="s">
        <v>39</v>
      </c>
      <c r="J686" s="1" t="s">
        <v>46</v>
      </c>
      <c r="K686" s="1">
        <v>60</v>
      </c>
      <c r="L686" s="1">
        <v>20011</v>
      </c>
      <c r="M686" s="2">
        <f t="shared" si="163"/>
        <v>1200660</v>
      </c>
      <c r="N686" s="1">
        <v>190184.54</v>
      </c>
      <c r="O686" s="1">
        <f t="shared" si="164"/>
        <v>1390844.54</v>
      </c>
      <c r="P686" s="1">
        <v>8554</v>
      </c>
      <c r="Q686" s="1">
        <f t="shared" si="165"/>
        <v>1382290.54</v>
      </c>
      <c r="R686" s="1">
        <f>0.62*U686</f>
        <v>487134</v>
      </c>
      <c r="S686" s="1">
        <f>U686*0.2</f>
        <v>157140</v>
      </c>
      <c r="T686" s="1">
        <f t="shared" si="167"/>
        <v>141426</v>
      </c>
      <c r="U686" s="1">
        <v>785700</v>
      </c>
      <c r="V686" s="1">
        <f t="shared" si="162"/>
        <v>596590.54</v>
      </c>
      <c r="W686" s="1">
        <v>4.3</v>
      </c>
    </row>
    <row r="687" spans="1:23" x14ac:dyDescent="0.25">
      <c r="A687" s="1" t="s">
        <v>286</v>
      </c>
      <c r="B687" s="1" t="s">
        <v>69</v>
      </c>
      <c r="C687" s="1" t="s">
        <v>408</v>
      </c>
      <c r="D687" s="1" t="s">
        <v>55</v>
      </c>
      <c r="E687" s="1" t="s">
        <v>56</v>
      </c>
      <c r="F687" s="1" t="s">
        <v>24</v>
      </c>
      <c r="G687" s="1" t="s">
        <v>143</v>
      </c>
      <c r="H687" s="1" t="s">
        <v>398</v>
      </c>
      <c r="I687" s="1" t="s">
        <v>39</v>
      </c>
      <c r="J687" s="1" t="s">
        <v>26</v>
      </c>
      <c r="K687" s="1">
        <v>13</v>
      </c>
      <c r="L687" s="1">
        <v>1688</v>
      </c>
      <c r="M687" s="2">
        <f t="shared" si="163"/>
        <v>21944</v>
      </c>
      <c r="N687" s="1">
        <v>3633.93</v>
      </c>
      <c r="O687" s="1">
        <f t="shared" si="164"/>
        <v>25577.93</v>
      </c>
      <c r="P687" s="1">
        <v>7029</v>
      </c>
      <c r="Q687" s="1">
        <f t="shared" si="165"/>
        <v>18548.93</v>
      </c>
      <c r="R687" s="1">
        <v>4368</v>
      </c>
      <c r="S687" s="1">
        <f t="shared" si="171"/>
        <v>3494.4</v>
      </c>
      <c r="T687" s="1">
        <f t="shared" si="167"/>
        <v>9609.6</v>
      </c>
      <c r="U687" s="1">
        <v>17472</v>
      </c>
      <c r="V687" s="1">
        <f t="shared" si="162"/>
        <v>1076.9300000000003</v>
      </c>
      <c r="W687" s="1">
        <v>3.7</v>
      </c>
    </row>
    <row r="688" spans="1:23" x14ac:dyDescent="0.25">
      <c r="A688" s="1" t="s">
        <v>84</v>
      </c>
      <c r="B688" s="1" t="s">
        <v>58</v>
      </c>
      <c r="C688" s="1" t="s">
        <v>408</v>
      </c>
      <c r="D688" s="1" t="s">
        <v>62</v>
      </c>
      <c r="E688" s="1" t="s">
        <v>43</v>
      </c>
      <c r="F688" s="1" t="s">
        <v>29</v>
      </c>
      <c r="G688" s="1" t="s">
        <v>53</v>
      </c>
      <c r="H688" s="1" t="s">
        <v>399</v>
      </c>
      <c r="I688" s="1" t="s">
        <v>19</v>
      </c>
      <c r="J688" s="1" t="s">
        <v>26</v>
      </c>
      <c r="K688" s="1">
        <v>117</v>
      </c>
      <c r="L688" s="1">
        <v>24116</v>
      </c>
      <c r="M688" s="2">
        <f t="shared" si="163"/>
        <v>2821572</v>
      </c>
      <c r="N688" s="1">
        <v>467252.32</v>
      </c>
      <c r="O688" s="1">
        <f t="shared" si="164"/>
        <v>3288824.32</v>
      </c>
      <c r="P688" s="1">
        <v>5186</v>
      </c>
      <c r="Q688" s="1">
        <f t="shared" si="165"/>
        <v>3283638.32</v>
      </c>
      <c r="R688" s="1">
        <v>1620391.5</v>
      </c>
      <c r="S688" s="1">
        <f>U688*0.1</f>
        <v>216052.2</v>
      </c>
      <c r="T688" s="1">
        <f t="shared" si="167"/>
        <v>324078.30000000005</v>
      </c>
      <c r="U688" s="1">
        <v>2160522</v>
      </c>
      <c r="V688" s="1">
        <f t="shared" si="162"/>
        <v>1123116.3199999998</v>
      </c>
      <c r="W688" s="1">
        <v>4.2</v>
      </c>
    </row>
    <row r="689" spans="1:23" x14ac:dyDescent="0.25">
      <c r="A689" s="1" t="s">
        <v>225</v>
      </c>
      <c r="B689" s="1" t="s">
        <v>58</v>
      </c>
      <c r="C689" s="1" t="s">
        <v>408</v>
      </c>
      <c r="D689" s="1" t="s">
        <v>74</v>
      </c>
      <c r="E689" s="1" t="s">
        <v>56</v>
      </c>
      <c r="F689" s="1" t="s">
        <v>17</v>
      </c>
      <c r="G689" s="1" t="s">
        <v>35</v>
      </c>
      <c r="H689" s="1" t="s">
        <v>399</v>
      </c>
      <c r="I689" s="1" t="s">
        <v>19</v>
      </c>
      <c r="J689" s="1" t="s">
        <v>26</v>
      </c>
      <c r="K689" s="1">
        <v>152</v>
      </c>
      <c r="L689" s="1">
        <v>30359</v>
      </c>
      <c r="M689" s="2">
        <f t="shared" si="163"/>
        <v>4614568</v>
      </c>
      <c r="N689" s="1">
        <v>789091.13</v>
      </c>
      <c r="O689" s="1">
        <f t="shared" si="164"/>
        <v>5403659.1299999999</v>
      </c>
      <c r="P689" s="1">
        <v>9728</v>
      </c>
      <c r="Q689" s="1">
        <f t="shared" si="165"/>
        <v>5393931.1299999999</v>
      </c>
      <c r="R689" s="1">
        <f>0.62*U689</f>
        <v>1988464</v>
      </c>
      <c r="S689" s="1">
        <f>U689*0.2</f>
        <v>641440</v>
      </c>
      <c r="T689" s="1">
        <f t="shared" si="167"/>
        <v>577296</v>
      </c>
      <c r="U689" s="1">
        <v>3207200</v>
      </c>
      <c r="V689" s="1">
        <f t="shared" si="162"/>
        <v>2186731.13</v>
      </c>
      <c r="W689" s="1">
        <v>3.9</v>
      </c>
    </row>
    <row r="690" spans="1:23" x14ac:dyDescent="0.25">
      <c r="A690" s="1" t="s">
        <v>176</v>
      </c>
      <c r="B690" s="1" t="s">
        <v>28</v>
      </c>
      <c r="C690" s="1" t="s">
        <v>408</v>
      </c>
      <c r="D690" s="1" t="s">
        <v>22</v>
      </c>
      <c r="E690" s="1" t="s">
        <v>23</v>
      </c>
      <c r="F690" s="1" t="s">
        <v>29</v>
      </c>
      <c r="G690" s="1" t="s">
        <v>91</v>
      </c>
      <c r="H690" s="1" t="s">
        <v>399</v>
      </c>
      <c r="I690" s="1" t="s">
        <v>39</v>
      </c>
      <c r="J690" s="1" t="s">
        <v>26</v>
      </c>
      <c r="K690" s="1">
        <v>185</v>
      </c>
      <c r="L690" s="1">
        <v>7521</v>
      </c>
      <c r="M690" s="2">
        <f t="shared" si="163"/>
        <v>1391385</v>
      </c>
      <c r="N690" s="1">
        <v>212881.9</v>
      </c>
      <c r="O690" s="1">
        <f t="shared" si="164"/>
        <v>1604266.9</v>
      </c>
      <c r="P690" s="1">
        <v>9603</v>
      </c>
      <c r="Q690" s="1">
        <f t="shared" si="165"/>
        <v>1594663.9</v>
      </c>
      <c r="R690" s="1">
        <v>274910</v>
      </c>
      <c r="S690" s="1">
        <f>U690*0.1</f>
        <v>109964</v>
      </c>
      <c r="T690" s="1">
        <f t="shared" si="167"/>
        <v>714766</v>
      </c>
      <c r="U690" s="1">
        <v>1099640</v>
      </c>
      <c r="V690" s="1">
        <f t="shared" si="162"/>
        <v>495023.89999999991</v>
      </c>
      <c r="W690" s="1">
        <v>3.6</v>
      </c>
    </row>
    <row r="691" spans="1:23" x14ac:dyDescent="0.25">
      <c r="A691" s="1" t="s">
        <v>226</v>
      </c>
      <c r="B691" s="1" t="s">
        <v>32</v>
      </c>
      <c r="C691" s="1" t="s">
        <v>408</v>
      </c>
      <c r="D691" s="1" t="s">
        <v>15</v>
      </c>
      <c r="E691" s="1" t="s">
        <v>16</v>
      </c>
      <c r="F691" s="1" t="s">
        <v>24</v>
      </c>
      <c r="G691" s="1" t="s">
        <v>25</v>
      </c>
      <c r="H691" s="1" t="s">
        <v>398</v>
      </c>
      <c r="I691" s="1" t="s">
        <v>19</v>
      </c>
      <c r="J691" s="1" t="s">
        <v>26</v>
      </c>
      <c r="K691" s="1">
        <v>13</v>
      </c>
      <c r="L691" s="1">
        <v>25078</v>
      </c>
      <c r="M691" s="2">
        <f t="shared" si="163"/>
        <v>326014</v>
      </c>
      <c r="N691" s="1">
        <v>58682.52</v>
      </c>
      <c r="O691" s="1">
        <f t="shared" si="164"/>
        <v>384696.52</v>
      </c>
      <c r="P691" s="1">
        <v>5729</v>
      </c>
      <c r="Q691" s="1">
        <f t="shared" si="165"/>
        <v>378967.52</v>
      </c>
      <c r="R691" s="1">
        <v>158681.25</v>
      </c>
      <c r="S691" s="1">
        <f t="shared" si="171"/>
        <v>42315</v>
      </c>
      <c r="T691" s="1">
        <f t="shared" si="167"/>
        <v>10578.75</v>
      </c>
      <c r="U691" s="1">
        <v>211575</v>
      </c>
      <c r="V691" s="1">
        <f t="shared" si="162"/>
        <v>167392.52000000002</v>
      </c>
      <c r="W691" s="1">
        <v>3.6</v>
      </c>
    </row>
    <row r="692" spans="1:23" x14ac:dyDescent="0.25">
      <c r="A692" s="1" t="s">
        <v>188</v>
      </c>
      <c r="B692" s="1" t="s">
        <v>34</v>
      </c>
      <c r="C692" s="1" t="s">
        <v>408</v>
      </c>
      <c r="D692" s="1" t="s">
        <v>42</v>
      </c>
      <c r="E692" s="1" t="s">
        <v>43</v>
      </c>
      <c r="F692" s="1" t="s">
        <v>29</v>
      </c>
      <c r="G692" s="1" t="s">
        <v>87</v>
      </c>
      <c r="H692" s="1" t="s">
        <v>399</v>
      </c>
      <c r="I692" s="1" t="s">
        <v>39</v>
      </c>
      <c r="J692" s="1" t="s">
        <v>46</v>
      </c>
      <c r="K692" s="1">
        <v>128</v>
      </c>
      <c r="L692" s="1">
        <v>9506</v>
      </c>
      <c r="M692" s="2">
        <f t="shared" si="163"/>
        <v>1216768</v>
      </c>
      <c r="N692" s="1">
        <v>208067.33</v>
      </c>
      <c r="O692" s="1">
        <f t="shared" si="164"/>
        <v>1424835.33</v>
      </c>
      <c r="P692" s="1">
        <v>9019</v>
      </c>
      <c r="Q692" s="1">
        <f t="shared" si="165"/>
        <v>1415816.33</v>
      </c>
      <c r="R692" s="1">
        <v>388928</v>
      </c>
      <c r="S692" s="1">
        <f>U692*0.1</f>
        <v>77785.600000000006</v>
      </c>
      <c r="T692" s="1">
        <f t="shared" si="167"/>
        <v>311142.40000000002</v>
      </c>
      <c r="U692" s="1">
        <v>777856</v>
      </c>
      <c r="V692" s="1">
        <f t="shared" si="162"/>
        <v>637960.33000000007</v>
      </c>
      <c r="W692" s="1">
        <v>4.5999999999999996</v>
      </c>
    </row>
    <row r="693" spans="1:23" x14ac:dyDescent="0.25">
      <c r="A693" s="1" t="s">
        <v>100</v>
      </c>
      <c r="B693" s="1" t="s">
        <v>69</v>
      </c>
      <c r="C693" s="1" t="s">
        <v>408</v>
      </c>
      <c r="D693" s="1" t="s">
        <v>74</v>
      </c>
      <c r="E693" s="1" t="s">
        <v>56</v>
      </c>
      <c r="F693" s="1" t="s">
        <v>17</v>
      </c>
      <c r="G693" s="1" t="s">
        <v>35</v>
      </c>
      <c r="H693" s="1" t="s">
        <v>398</v>
      </c>
      <c r="I693" s="1" t="s">
        <v>396</v>
      </c>
      <c r="J693" s="1" t="s">
        <v>26</v>
      </c>
      <c r="K693" s="1">
        <v>166</v>
      </c>
      <c r="L693" s="1">
        <v>11702</v>
      </c>
      <c r="M693" s="2">
        <f t="shared" si="163"/>
        <v>1942532</v>
      </c>
      <c r="N693" s="1">
        <v>307697.07</v>
      </c>
      <c r="O693" s="1">
        <f t="shared" si="164"/>
        <v>2250229.0699999998</v>
      </c>
      <c r="P693" s="1">
        <v>8504</v>
      </c>
      <c r="Q693" s="1">
        <f t="shared" si="165"/>
        <v>2241725.0699999998</v>
      </c>
      <c r="R693" s="1">
        <f t="shared" ref="R693:R694" si="181">0.62*U693</f>
        <v>824800.88</v>
      </c>
      <c r="S693" s="1">
        <f t="shared" ref="S693:S694" si="182">U693*0.2</f>
        <v>266064.8</v>
      </c>
      <c r="T693" s="1">
        <f t="shared" si="167"/>
        <v>239458.31999999995</v>
      </c>
      <c r="U693" s="1">
        <v>1330324</v>
      </c>
      <c r="V693" s="1">
        <f t="shared" si="162"/>
        <v>911401.06999999983</v>
      </c>
      <c r="W693" s="1">
        <v>4.2</v>
      </c>
    </row>
    <row r="694" spans="1:23" x14ac:dyDescent="0.25">
      <c r="A694" s="1" t="s">
        <v>323</v>
      </c>
      <c r="B694" s="1" t="s">
        <v>28</v>
      </c>
      <c r="C694" s="1" t="s">
        <v>408</v>
      </c>
      <c r="D694" s="1" t="s">
        <v>78</v>
      </c>
      <c r="E694" s="1" t="s">
        <v>49</v>
      </c>
      <c r="F694" s="1" t="s">
        <v>17</v>
      </c>
      <c r="G694" s="1" t="s">
        <v>72</v>
      </c>
      <c r="H694" s="1" t="s">
        <v>398</v>
      </c>
      <c r="I694" s="1" t="s">
        <v>396</v>
      </c>
      <c r="J694" s="1" t="s">
        <v>46</v>
      </c>
      <c r="K694" s="1">
        <v>59</v>
      </c>
      <c r="L694" s="1">
        <v>20158</v>
      </c>
      <c r="M694" s="2">
        <f t="shared" si="163"/>
        <v>1189322</v>
      </c>
      <c r="N694" s="1">
        <v>181966.27</v>
      </c>
      <c r="O694" s="1">
        <f t="shared" si="164"/>
        <v>1371288.27</v>
      </c>
      <c r="P694" s="1">
        <v>8637</v>
      </c>
      <c r="Q694" s="1">
        <f t="shared" si="165"/>
        <v>1362651.27</v>
      </c>
      <c r="R694" s="1">
        <f t="shared" si="181"/>
        <v>522106.33999999997</v>
      </c>
      <c r="S694" s="1">
        <f t="shared" si="182"/>
        <v>168421.40000000002</v>
      </c>
      <c r="T694" s="1">
        <f t="shared" si="167"/>
        <v>151579.26</v>
      </c>
      <c r="U694" s="1">
        <v>842107</v>
      </c>
      <c r="V694" s="1">
        <f t="shared" si="162"/>
        <v>520544.27</v>
      </c>
      <c r="W694" s="1">
        <v>4.9000000000000004</v>
      </c>
    </row>
    <row r="695" spans="1:23" x14ac:dyDescent="0.25">
      <c r="A695" s="1" t="s">
        <v>36</v>
      </c>
      <c r="B695" s="1" t="s">
        <v>28</v>
      </c>
      <c r="C695" s="1" t="s">
        <v>408</v>
      </c>
      <c r="D695" s="1" t="s">
        <v>62</v>
      </c>
      <c r="E695" s="1" t="s">
        <v>43</v>
      </c>
      <c r="F695" s="1" t="s">
        <v>24</v>
      </c>
      <c r="G695" s="1" t="s">
        <v>63</v>
      </c>
      <c r="H695" s="1" t="s">
        <v>399</v>
      </c>
      <c r="I695" s="1" t="s">
        <v>395</v>
      </c>
      <c r="J695" s="1" t="s">
        <v>46</v>
      </c>
      <c r="K695" s="1">
        <v>97</v>
      </c>
      <c r="L695" s="1">
        <v>1070</v>
      </c>
      <c r="M695" s="2">
        <f t="shared" si="163"/>
        <v>103790</v>
      </c>
      <c r="N695" s="1">
        <v>16440.34</v>
      </c>
      <c r="O695" s="1">
        <f t="shared" si="164"/>
        <v>120230.34</v>
      </c>
      <c r="P695" s="1">
        <v>6569</v>
      </c>
      <c r="Q695" s="1">
        <f t="shared" si="165"/>
        <v>113661.34</v>
      </c>
      <c r="R695" s="1">
        <v>16878</v>
      </c>
      <c r="S695" s="1">
        <f t="shared" si="171"/>
        <v>13502.400000000001</v>
      </c>
      <c r="T695" s="1">
        <f t="shared" si="167"/>
        <v>37131.599999999999</v>
      </c>
      <c r="U695" s="1">
        <v>67512</v>
      </c>
      <c r="V695" s="1">
        <f t="shared" si="162"/>
        <v>46149.34</v>
      </c>
      <c r="W695" s="1">
        <v>3.7</v>
      </c>
    </row>
    <row r="696" spans="1:23" x14ac:dyDescent="0.25">
      <c r="A696" s="1" t="s">
        <v>111</v>
      </c>
      <c r="B696" s="1" t="s">
        <v>41</v>
      </c>
      <c r="C696" s="1" t="s">
        <v>408</v>
      </c>
      <c r="D696" s="1" t="s">
        <v>22</v>
      </c>
      <c r="E696" s="1" t="s">
        <v>23</v>
      </c>
      <c r="F696" s="1" t="s">
        <v>24</v>
      </c>
      <c r="G696" s="1" t="s">
        <v>63</v>
      </c>
      <c r="H696" s="1" t="s">
        <v>399</v>
      </c>
      <c r="I696" s="1" t="s">
        <v>19</v>
      </c>
      <c r="J696" s="1" t="s">
        <v>26</v>
      </c>
      <c r="K696" s="1">
        <v>64</v>
      </c>
      <c r="L696" s="1">
        <v>6954</v>
      </c>
      <c r="M696" s="2">
        <f t="shared" si="163"/>
        <v>445056</v>
      </c>
      <c r="N696" s="1">
        <v>68093.570000000007</v>
      </c>
      <c r="O696" s="1">
        <f t="shared" si="164"/>
        <v>513149.57</v>
      </c>
      <c r="P696" s="1">
        <v>7545</v>
      </c>
      <c r="Q696" s="1">
        <f t="shared" si="165"/>
        <v>505604.57</v>
      </c>
      <c r="R696" s="1">
        <v>79616</v>
      </c>
      <c r="S696" s="1">
        <f t="shared" si="171"/>
        <v>63692.800000000003</v>
      </c>
      <c r="T696" s="1">
        <f t="shared" si="167"/>
        <v>175155.20000000001</v>
      </c>
      <c r="U696" s="1">
        <v>318464</v>
      </c>
      <c r="V696" s="1">
        <f t="shared" si="162"/>
        <v>187140.57</v>
      </c>
      <c r="W696" s="1">
        <v>4.7</v>
      </c>
    </row>
    <row r="697" spans="1:23" x14ac:dyDescent="0.25">
      <c r="A697" s="1" t="s">
        <v>282</v>
      </c>
      <c r="B697" s="1" t="s">
        <v>109</v>
      </c>
      <c r="C697" s="1" t="s">
        <v>408</v>
      </c>
      <c r="D697" s="1" t="s">
        <v>15</v>
      </c>
      <c r="E697" s="1" t="s">
        <v>16</v>
      </c>
      <c r="F697" s="1" t="s">
        <v>17</v>
      </c>
      <c r="G697" s="1" t="s">
        <v>72</v>
      </c>
      <c r="H697" s="1" t="s">
        <v>398</v>
      </c>
      <c r="I697" s="1" t="s">
        <v>396</v>
      </c>
      <c r="J697" s="1" t="s">
        <v>26</v>
      </c>
      <c r="K697" s="1">
        <v>182</v>
      </c>
      <c r="L697" s="1">
        <v>24777</v>
      </c>
      <c r="M697" s="2">
        <f t="shared" si="163"/>
        <v>4509414</v>
      </c>
      <c r="N697" s="1">
        <v>714291.18</v>
      </c>
      <c r="O697" s="1">
        <f t="shared" si="164"/>
        <v>5223705.18</v>
      </c>
      <c r="P697" s="1">
        <v>8446</v>
      </c>
      <c r="Q697" s="1">
        <f t="shared" si="165"/>
        <v>5215259.18</v>
      </c>
      <c r="R697" s="1">
        <f>0.62*U697</f>
        <v>1837712.24</v>
      </c>
      <c r="S697" s="1">
        <f>U697*0.2</f>
        <v>592810.4</v>
      </c>
      <c r="T697" s="1">
        <f t="shared" si="167"/>
        <v>533529.3600000001</v>
      </c>
      <c r="U697" s="1">
        <v>2964052</v>
      </c>
      <c r="V697" s="1">
        <f t="shared" si="162"/>
        <v>2251207.1799999997</v>
      </c>
      <c r="W697" s="1">
        <v>4.9000000000000004</v>
      </c>
    </row>
    <row r="698" spans="1:23" x14ac:dyDescent="0.25">
      <c r="A698" s="1" t="s">
        <v>122</v>
      </c>
      <c r="B698" s="1" t="s">
        <v>37</v>
      </c>
      <c r="C698" s="1" t="s">
        <v>408</v>
      </c>
      <c r="D698" s="1" t="s">
        <v>55</v>
      </c>
      <c r="E698" s="1" t="s">
        <v>56</v>
      </c>
      <c r="F698" s="1" t="s">
        <v>24</v>
      </c>
      <c r="G698" s="1" t="s">
        <v>119</v>
      </c>
      <c r="H698" s="1" t="s">
        <v>399</v>
      </c>
      <c r="I698" s="1" t="s">
        <v>39</v>
      </c>
      <c r="J698" s="1" t="s">
        <v>26</v>
      </c>
      <c r="K698" s="1">
        <v>54</v>
      </c>
      <c r="L698" s="1">
        <v>7616</v>
      </c>
      <c r="M698" s="2">
        <f t="shared" si="163"/>
        <v>411264</v>
      </c>
      <c r="N698" s="1">
        <v>70326.14</v>
      </c>
      <c r="O698" s="1">
        <f t="shared" si="164"/>
        <v>481590.14</v>
      </c>
      <c r="P698" s="1">
        <v>7196</v>
      </c>
      <c r="Q698" s="1">
        <f t="shared" si="165"/>
        <v>474394.14</v>
      </c>
      <c r="R698" s="1">
        <v>149931</v>
      </c>
      <c r="S698" s="1">
        <f t="shared" si="171"/>
        <v>59972.4</v>
      </c>
      <c r="T698" s="1">
        <f t="shared" si="167"/>
        <v>89958.6</v>
      </c>
      <c r="U698" s="1">
        <v>299862</v>
      </c>
      <c r="V698" s="1">
        <f t="shared" si="162"/>
        <v>174532.14</v>
      </c>
      <c r="W698" s="1">
        <v>3.6</v>
      </c>
    </row>
    <row r="699" spans="1:23" x14ac:dyDescent="0.25">
      <c r="A699" s="1" t="s">
        <v>315</v>
      </c>
      <c r="B699" s="1" t="s">
        <v>109</v>
      </c>
      <c r="C699" s="1" t="s">
        <v>408</v>
      </c>
      <c r="D699" s="1" t="s">
        <v>55</v>
      </c>
      <c r="E699" s="1" t="s">
        <v>56</v>
      </c>
      <c r="F699" s="1" t="s">
        <v>24</v>
      </c>
      <c r="G699" s="1" t="s">
        <v>119</v>
      </c>
      <c r="H699" s="1" t="s">
        <v>398</v>
      </c>
      <c r="I699" s="1" t="s">
        <v>19</v>
      </c>
      <c r="J699" s="1" t="s">
        <v>46</v>
      </c>
      <c r="K699" s="1">
        <v>185</v>
      </c>
      <c r="L699" s="1">
        <v>31069</v>
      </c>
      <c r="M699" s="2">
        <f t="shared" si="163"/>
        <v>5747765</v>
      </c>
      <c r="N699" s="1">
        <v>1034597.7</v>
      </c>
      <c r="O699" s="1">
        <f t="shared" si="164"/>
        <v>6782362.7000000002</v>
      </c>
      <c r="P699" s="1">
        <v>9045</v>
      </c>
      <c r="Q699" s="1">
        <f t="shared" si="165"/>
        <v>6773317.7000000002</v>
      </c>
      <c r="R699" s="1">
        <v>932030</v>
      </c>
      <c r="S699" s="1">
        <f t="shared" si="171"/>
        <v>745624</v>
      </c>
      <c r="T699" s="1">
        <f t="shared" si="167"/>
        <v>2050466</v>
      </c>
      <c r="U699" s="1">
        <v>3728120</v>
      </c>
      <c r="V699" s="1">
        <f t="shared" si="162"/>
        <v>3045197.7</v>
      </c>
      <c r="W699" s="1">
        <v>4.5999999999999996</v>
      </c>
    </row>
    <row r="700" spans="1:23" x14ac:dyDescent="0.25">
      <c r="A700" s="1" t="s">
        <v>193</v>
      </c>
      <c r="B700" s="1" t="s">
        <v>41</v>
      </c>
      <c r="C700" s="1" t="s">
        <v>408</v>
      </c>
      <c r="D700" s="1" t="s">
        <v>22</v>
      </c>
      <c r="E700" s="1" t="s">
        <v>23</v>
      </c>
      <c r="F700" s="1" t="s">
        <v>17</v>
      </c>
      <c r="G700" s="1" t="s">
        <v>35</v>
      </c>
      <c r="H700" s="1" t="s">
        <v>399</v>
      </c>
      <c r="I700" s="1" t="s">
        <v>39</v>
      </c>
      <c r="J700" s="1" t="s">
        <v>26</v>
      </c>
      <c r="K700" s="1">
        <v>105</v>
      </c>
      <c r="L700" s="1">
        <v>8913</v>
      </c>
      <c r="M700" s="2">
        <f t="shared" si="163"/>
        <v>935865</v>
      </c>
      <c r="N700" s="1">
        <v>154979.24</v>
      </c>
      <c r="O700" s="1">
        <f t="shared" si="164"/>
        <v>1090844.24</v>
      </c>
      <c r="P700" s="1">
        <v>7797</v>
      </c>
      <c r="Q700" s="1">
        <f t="shared" si="165"/>
        <v>1083047.24</v>
      </c>
      <c r="R700" s="1">
        <f t="shared" ref="R700:R701" si="183">0.62*U700</f>
        <v>406093.8</v>
      </c>
      <c r="S700" s="1">
        <f t="shared" si="171"/>
        <v>130998</v>
      </c>
      <c r="T700" s="1">
        <f t="shared" si="167"/>
        <v>117898.20000000001</v>
      </c>
      <c r="U700" s="1">
        <v>654990</v>
      </c>
      <c r="V700" s="1">
        <f t="shared" si="162"/>
        <v>428057.24</v>
      </c>
      <c r="W700" s="1">
        <v>4.3</v>
      </c>
    </row>
    <row r="701" spans="1:23" x14ac:dyDescent="0.25">
      <c r="A701" s="1" t="s">
        <v>296</v>
      </c>
      <c r="B701" s="1" t="s">
        <v>14</v>
      </c>
      <c r="C701" s="1" t="s">
        <v>408</v>
      </c>
      <c r="D701" s="1" t="s">
        <v>48</v>
      </c>
      <c r="E701" s="1" t="s">
        <v>49</v>
      </c>
      <c r="F701" s="1" t="s">
        <v>17</v>
      </c>
      <c r="G701" s="1" t="s">
        <v>72</v>
      </c>
      <c r="H701" s="1" t="s">
        <v>399</v>
      </c>
      <c r="I701" s="1" t="s">
        <v>39</v>
      </c>
      <c r="J701" s="1" t="s">
        <v>46</v>
      </c>
      <c r="K701" s="1">
        <v>116</v>
      </c>
      <c r="L701" s="1">
        <v>28550</v>
      </c>
      <c r="M701" s="2">
        <f t="shared" si="163"/>
        <v>3311800</v>
      </c>
      <c r="N701" s="1">
        <v>524589.12</v>
      </c>
      <c r="O701" s="1">
        <f t="shared" si="164"/>
        <v>3836389.12</v>
      </c>
      <c r="P701" s="1">
        <v>6439</v>
      </c>
      <c r="Q701" s="1">
        <f t="shared" si="165"/>
        <v>3829950.12</v>
      </c>
      <c r="R701" s="1">
        <f t="shared" si="183"/>
        <v>1344544.4</v>
      </c>
      <c r="S701" s="1">
        <f t="shared" si="171"/>
        <v>433724</v>
      </c>
      <c r="T701" s="1">
        <f t="shared" si="167"/>
        <v>390351.60000000009</v>
      </c>
      <c r="U701" s="1">
        <v>2168620</v>
      </c>
      <c r="V701" s="1">
        <f t="shared" si="162"/>
        <v>1661330.12</v>
      </c>
      <c r="W701" s="1">
        <v>4.3</v>
      </c>
    </row>
    <row r="702" spans="1:23" x14ac:dyDescent="0.25">
      <c r="A702" s="1" t="s">
        <v>371</v>
      </c>
      <c r="B702" s="1" t="s">
        <v>28</v>
      </c>
      <c r="C702" s="1" t="s">
        <v>408</v>
      </c>
      <c r="D702" s="1" t="s">
        <v>22</v>
      </c>
      <c r="E702" s="1" t="s">
        <v>23</v>
      </c>
      <c r="F702" s="1" t="s">
        <v>59</v>
      </c>
      <c r="G702" s="1" t="s">
        <v>121</v>
      </c>
      <c r="H702" s="1" t="s">
        <v>399</v>
      </c>
      <c r="I702" s="1" t="s">
        <v>39</v>
      </c>
      <c r="J702" s="1" t="s">
        <v>46</v>
      </c>
      <c r="K702" s="1">
        <v>157</v>
      </c>
      <c r="L702" s="1">
        <v>17185</v>
      </c>
      <c r="M702" s="2">
        <f t="shared" si="163"/>
        <v>2698045</v>
      </c>
      <c r="N702" s="1">
        <v>446796.25</v>
      </c>
      <c r="O702" s="1">
        <f t="shared" si="164"/>
        <v>3144841.25</v>
      </c>
      <c r="P702" s="1">
        <v>8812</v>
      </c>
      <c r="Q702" s="1">
        <f t="shared" si="165"/>
        <v>3136029.25</v>
      </c>
      <c r="R702" s="1">
        <f t="shared" ref="R702:R704" si="184">0.7*U702</f>
        <v>1550908.7999999998</v>
      </c>
      <c r="S702" s="1">
        <f t="shared" si="171"/>
        <v>443116.80000000005</v>
      </c>
      <c r="T702" s="1">
        <f t="shared" si="167"/>
        <v>221558.40000000014</v>
      </c>
      <c r="U702" s="1">
        <v>2215584</v>
      </c>
      <c r="V702" s="1">
        <f t="shared" si="162"/>
        <v>920445.25</v>
      </c>
      <c r="W702" s="1">
        <v>4.5</v>
      </c>
    </row>
    <row r="703" spans="1:23" x14ac:dyDescent="0.25">
      <c r="A703" s="1" t="s">
        <v>372</v>
      </c>
      <c r="B703" s="1" t="s">
        <v>28</v>
      </c>
      <c r="C703" s="1" t="s">
        <v>408</v>
      </c>
      <c r="D703" s="1" t="s">
        <v>74</v>
      </c>
      <c r="E703" s="1" t="s">
        <v>56</v>
      </c>
      <c r="F703" s="1" t="s">
        <v>59</v>
      </c>
      <c r="G703" s="1" t="s">
        <v>67</v>
      </c>
      <c r="H703" s="1" t="s">
        <v>399</v>
      </c>
      <c r="I703" s="1" t="s">
        <v>396</v>
      </c>
      <c r="J703" s="1" t="s">
        <v>26</v>
      </c>
      <c r="K703" s="1">
        <v>147</v>
      </c>
      <c r="L703" s="1">
        <v>30956</v>
      </c>
      <c r="M703" s="2">
        <f t="shared" si="163"/>
        <v>4550532</v>
      </c>
      <c r="N703" s="1">
        <v>819095.76</v>
      </c>
      <c r="O703" s="1">
        <f t="shared" si="164"/>
        <v>5369627.7599999998</v>
      </c>
      <c r="P703" s="1">
        <v>7687</v>
      </c>
      <c r="Q703" s="1">
        <f t="shared" si="165"/>
        <v>5361940.76</v>
      </c>
      <c r="R703" s="1">
        <f t="shared" si="184"/>
        <v>2500161.2999999998</v>
      </c>
      <c r="S703" s="1">
        <f t="shared" si="171"/>
        <v>714331.8</v>
      </c>
      <c r="T703" s="1">
        <f t="shared" si="167"/>
        <v>357165.90000000037</v>
      </c>
      <c r="U703" s="1">
        <v>3571659</v>
      </c>
      <c r="V703" s="1">
        <f t="shared" si="162"/>
        <v>1790281.7599999998</v>
      </c>
      <c r="W703" s="1">
        <v>4.5999999999999996</v>
      </c>
    </row>
    <row r="704" spans="1:23" x14ac:dyDescent="0.25">
      <c r="A704" s="1" t="s">
        <v>373</v>
      </c>
      <c r="B704" s="1" t="s">
        <v>14</v>
      </c>
      <c r="C704" s="1" t="s">
        <v>408</v>
      </c>
      <c r="D704" s="1" t="s">
        <v>55</v>
      </c>
      <c r="E704" s="1" t="s">
        <v>56</v>
      </c>
      <c r="F704" s="1" t="s">
        <v>59</v>
      </c>
      <c r="G704" s="1" t="s">
        <v>85</v>
      </c>
      <c r="H704" s="1" t="s">
        <v>399</v>
      </c>
      <c r="I704" s="1" t="s">
        <v>395</v>
      </c>
      <c r="J704" s="1" t="s">
        <v>46</v>
      </c>
      <c r="K704" s="1">
        <v>47</v>
      </c>
      <c r="L704" s="1">
        <v>35007</v>
      </c>
      <c r="M704" s="2">
        <f t="shared" si="163"/>
        <v>1645329</v>
      </c>
      <c r="N704" s="1">
        <v>281351.26</v>
      </c>
      <c r="O704" s="1">
        <f t="shared" si="164"/>
        <v>1926680.26</v>
      </c>
      <c r="P704" s="1">
        <v>8362</v>
      </c>
      <c r="Q704" s="1">
        <f t="shared" si="165"/>
        <v>1918318.26</v>
      </c>
      <c r="R704" s="1">
        <f t="shared" si="184"/>
        <v>726596.5</v>
      </c>
      <c r="S704" s="1">
        <f t="shared" si="171"/>
        <v>207599</v>
      </c>
      <c r="T704" s="1">
        <f t="shared" si="167"/>
        <v>103799.5</v>
      </c>
      <c r="U704" s="1">
        <v>1037995</v>
      </c>
      <c r="V704" s="1">
        <f t="shared" si="162"/>
        <v>880323.26</v>
      </c>
      <c r="W704" s="1">
        <v>4.4000000000000004</v>
      </c>
    </row>
    <row r="705" spans="1:23" x14ac:dyDescent="0.25">
      <c r="A705" s="1" t="s">
        <v>120</v>
      </c>
      <c r="B705" s="1" t="s">
        <v>32</v>
      </c>
      <c r="C705" s="1" t="s">
        <v>408</v>
      </c>
      <c r="D705" s="1" t="s">
        <v>42</v>
      </c>
      <c r="E705" s="1" t="s">
        <v>43</v>
      </c>
      <c r="F705" s="1" t="s">
        <v>29</v>
      </c>
      <c r="G705" s="1" t="s">
        <v>53</v>
      </c>
      <c r="H705" s="1" t="s">
        <v>398</v>
      </c>
      <c r="I705" s="1" t="s">
        <v>19</v>
      </c>
      <c r="J705" s="1" t="s">
        <v>26</v>
      </c>
      <c r="K705" s="1">
        <v>36</v>
      </c>
      <c r="L705" s="1">
        <v>31740</v>
      </c>
      <c r="M705" s="2">
        <f t="shared" si="163"/>
        <v>1142640</v>
      </c>
      <c r="N705" s="1">
        <v>205675.2</v>
      </c>
      <c r="O705" s="1">
        <f t="shared" si="164"/>
        <v>1348315.2</v>
      </c>
      <c r="P705" s="1">
        <v>5709</v>
      </c>
      <c r="Q705" s="1">
        <f t="shared" si="165"/>
        <v>1342606.2</v>
      </c>
      <c r="R705" s="1">
        <v>420282</v>
      </c>
      <c r="S705" s="1">
        <f>U705*0.1</f>
        <v>84056.400000000009</v>
      </c>
      <c r="T705" s="1">
        <f t="shared" si="167"/>
        <v>336225.6</v>
      </c>
      <c r="U705" s="1">
        <v>840564</v>
      </c>
      <c r="V705" s="1">
        <f t="shared" si="162"/>
        <v>502042.19999999995</v>
      </c>
      <c r="W705" s="1">
        <v>4.3</v>
      </c>
    </row>
    <row r="706" spans="1:23" x14ac:dyDescent="0.25">
      <c r="A706" s="1" t="s">
        <v>374</v>
      </c>
      <c r="B706" s="1" t="s">
        <v>51</v>
      </c>
      <c r="C706" s="1" t="s">
        <v>408</v>
      </c>
      <c r="D706" s="1" t="s">
        <v>62</v>
      </c>
      <c r="E706" s="1" t="s">
        <v>43</v>
      </c>
      <c r="F706" s="1" t="s">
        <v>17</v>
      </c>
      <c r="G706" s="1" t="s">
        <v>72</v>
      </c>
      <c r="H706" s="1" t="s">
        <v>399</v>
      </c>
      <c r="I706" s="1" t="s">
        <v>397</v>
      </c>
      <c r="J706" s="1" t="s">
        <v>26</v>
      </c>
      <c r="K706" s="1">
        <v>134</v>
      </c>
      <c r="L706" s="1">
        <v>18699</v>
      </c>
      <c r="M706" s="2">
        <f t="shared" si="163"/>
        <v>2505666</v>
      </c>
      <c r="N706" s="1">
        <v>383366.9</v>
      </c>
      <c r="O706" s="1">
        <f t="shared" si="164"/>
        <v>2889032.9</v>
      </c>
      <c r="P706" s="1">
        <v>7199</v>
      </c>
      <c r="Q706" s="1">
        <f t="shared" si="165"/>
        <v>2881833.9</v>
      </c>
      <c r="R706" s="1">
        <f>0.62*U706</f>
        <v>1169351</v>
      </c>
      <c r="S706" s="1">
        <f>U706*0.2</f>
        <v>377210</v>
      </c>
      <c r="T706" s="1">
        <f t="shared" si="167"/>
        <v>339489</v>
      </c>
      <c r="U706" s="1">
        <v>1886050</v>
      </c>
      <c r="V706" s="1">
        <f t="shared" si="162"/>
        <v>995783.89999999991</v>
      </c>
      <c r="W706" s="1">
        <v>4.3</v>
      </c>
    </row>
    <row r="707" spans="1:23" x14ac:dyDescent="0.25">
      <c r="A707" s="1" t="s">
        <v>375</v>
      </c>
      <c r="B707" s="1" t="s">
        <v>77</v>
      </c>
      <c r="C707" s="1" t="s">
        <v>408</v>
      </c>
      <c r="D707" s="1" t="s">
        <v>15</v>
      </c>
      <c r="E707" s="1" t="s">
        <v>16</v>
      </c>
      <c r="F707" s="1" t="s">
        <v>24</v>
      </c>
      <c r="G707" s="1" t="s">
        <v>25</v>
      </c>
      <c r="H707" s="1" t="s">
        <v>399</v>
      </c>
      <c r="I707" s="1" t="s">
        <v>19</v>
      </c>
      <c r="J707" s="1" t="s">
        <v>46</v>
      </c>
      <c r="K707" s="1">
        <v>48</v>
      </c>
      <c r="L707" s="1">
        <v>30778</v>
      </c>
      <c r="M707" s="2">
        <f t="shared" si="163"/>
        <v>1477344</v>
      </c>
      <c r="N707" s="1">
        <v>252625.82</v>
      </c>
      <c r="O707" s="1">
        <f t="shared" si="164"/>
        <v>1729969.82</v>
      </c>
      <c r="P707" s="1">
        <v>9776</v>
      </c>
      <c r="Q707" s="1">
        <f t="shared" si="165"/>
        <v>1720193.82</v>
      </c>
      <c r="R707" s="1">
        <v>489024</v>
      </c>
      <c r="S707" s="1">
        <f t="shared" si="171"/>
        <v>195609.60000000001</v>
      </c>
      <c r="T707" s="1">
        <f t="shared" si="167"/>
        <v>293414.40000000002</v>
      </c>
      <c r="U707" s="1">
        <v>978048</v>
      </c>
      <c r="V707" s="1">
        <f t="shared" si="162"/>
        <v>742145.82000000007</v>
      </c>
      <c r="W707" s="1">
        <v>4.9000000000000004</v>
      </c>
    </row>
    <row r="708" spans="1:23" x14ac:dyDescent="0.25">
      <c r="A708" s="1" t="s">
        <v>145</v>
      </c>
      <c r="B708" s="1" t="s">
        <v>14</v>
      </c>
      <c r="C708" s="1" t="s">
        <v>408</v>
      </c>
      <c r="D708" s="1" t="s">
        <v>42</v>
      </c>
      <c r="E708" s="1" t="s">
        <v>43</v>
      </c>
      <c r="F708" s="1" t="s">
        <v>24</v>
      </c>
      <c r="G708" s="1" t="s">
        <v>119</v>
      </c>
      <c r="H708" s="1" t="s">
        <v>398</v>
      </c>
      <c r="I708" s="1" t="s">
        <v>395</v>
      </c>
      <c r="J708" s="1" t="s">
        <v>46</v>
      </c>
      <c r="K708" s="1">
        <v>98</v>
      </c>
      <c r="L708" s="1">
        <v>7450</v>
      </c>
      <c r="M708" s="2">
        <f t="shared" si="163"/>
        <v>730100</v>
      </c>
      <c r="N708" s="1">
        <v>120904.56</v>
      </c>
      <c r="O708" s="1">
        <f t="shared" si="164"/>
        <v>851004.56</v>
      </c>
      <c r="P708" s="1">
        <v>7287</v>
      </c>
      <c r="Q708" s="1">
        <f t="shared" si="165"/>
        <v>843717.56</v>
      </c>
      <c r="R708" s="1">
        <v>298557</v>
      </c>
      <c r="S708" s="1">
        <f t="shared" si="171"/>
        <v>119422.8</v>
      </c>
      <c r="T708" s="1">
        <f t="shared" si="167"/>
        <v>179134.2</v>
      </c>
      <c r="U708" s="1">
        <v>597114</v>
      </c>
      <c r="V708" s="1">
        <f t="shared" ref="V708:V771" si="185">Q708-U708</f>
        <v>246603.56000000006</v>
      </c>
      <c r="W708" s="1">
        <v>4.7</v>
      </c>
    </row>
    <row r="709" spans="1:23" x14ac:dyDescent="0.25">
      <c r="A709" s="1" t="s">
        <v>254</v>
      </c>
      <c r="B709" s="1" t="s">
        <v>51</v>
      </c>
      <c r="C709" s="1" t="s">
        <v>408</v>
      </c>
      <c r="D709" s="1" t="s">
        <v>55</v>
      </c>
      <c r="E709" s="1" t="s">
        <v>56</v>
      </c>
      <c r="F709" s="1" t="s">
        <v>29</v>
      </c>
      <c r="G709" s="1" t="s">
        <v>97</v>
      </c>
      <c r="H709" s="1" t="s">
        <v>398</v>
      </c>
      <c r="I709" s="1" t="s">
        <v>397</v>
      </c>
      <c r="J709" s="1" t="s">
        <v>26</v>
      </c>
      <c r="K709" s="1">
        <v>123</v>
      </c>
      <c r="L709" s="1">
        <v>25094</v>
      </c>
      <c r="M709" s="2">
        <f t="shared" ref="M709:M772" si="186">K709*L709</f>
        <v>3086562</v>
      </c>
      <c r="N709" s="1">
        <v>555581.16</v>
      </c>
      <c r="O709" s="1">
        <f t="shared" ref="O709:O772" si="187">M709+N709</f>
        <v>3642143.16</v>
      </c>
      <c r="P709" s="1">
        <v>5690</v>
      </c>
      <c r="Q709" s="1">
        <f t="shared" ref="Q709:Q772" si="188">O709-P709</f>
        <v>3636453.16</v>
      </c>
      <c r="R709" s="1">
        <v>1028649</v>
      </c>
      <c r="S709" s="1">
        <f t="shared" ref="S709:S711" si="189">U709*0.1</f>
        <v>205729.80000000002</v>
      </c>
      <c r="T709" s="1">
        <f t="shared" ref="T709:T772" si="190">U709-S709-R709</f>
        <v>822919.2</v>
      </c>
      <c r="U709" s="1">
        <v>2057298</v>
      </c>
      <c r="V709" s="1">
        <f t="shared" si="185"/>
        <v>1579155.1600000001</v>
      </c>
      <c r="W709" s="1">
        <v>3.7</v>
      </c>
    </row>
    <row r="710" spans="1:23" x14ac:dyDescent="0.25">
      <c r="A710" s="1" t="s">
        <v>147</v>
      </c>
      <c r="B710" s="1" t="s">
        <v>69</v>
      </c>
      <c r="C710" s="1" t="s">
        <v>408</v>
      </c>
      <c r="D710" s="1" t="s">
        <v>52</v>
      </c>
      <c r="E710" s="1" t="s">
        <v>23</v>
      </c>
      <c r="F710" s="1" t="s">
        <v>29</v>
      </c>
      <c r="G710" s="1" t="s">
        <v>53</v>
      </c>
      <c r="H710" s="1" t="s">
        <v>398</v>
      </c>
      <c r="I710" s="1" t="s">
        <v>396</v>
      </c>
      <c r="J710" s="1" t="s">
        <v>46</v>
      </c>
      <c r="K710" s="1">
        <v>74</v>
      </c>
      <c r="L710" s="1">
        <v>24603</v>
      </c>
      <c r="M710" s="2">
        <f t="shared" si="186"/>
        <v>1820622</v>
      </c>
      <c r="N710" s="1">
        <v>301495</v>
      </c>
      <c r="O710" s="1">
        <f t="shared" si="187"/>
        <v>2122117</v>
      </c>
      <c r="P710" s="1">
        <v>8729</v>
      </c>
      <c r="Q710" s="1">
        <f t="shared" si="188"/>
        <v>2113388</v>
      </c>
      <c r="R710" s="1">
        <v>755170</v>
      </c>
      <c r="S710" s="1">
        <f t="shared" si="189"/>
        <v>151034</v>
      </c>
      <c r="T710" s="1">
        <f t="shared" si="190"/>
        <v>604136</v>
      </c>
      <c r="U710" s="1">
        <v>1510340</v>
      </c>
      <c r="V710" s="1">
        <f t="shared" si="185"/>
        <v>603048</v>
      </c>
      <c r="W710" s="1">
        <v>3.7</v>
      </c>
    </row>
    <row r="711" spans="1:23" x14ac:dyDescent="0.25">
      <c r="A711" s="1" t="s">
        <v>311</v>
      </c>
      <c r="B711" s="1" t="s">
        <v>77</v>
      </c>
      <c r="C711" s="1" t="s">
        <v>408</v>
      </c>
      <c r="D711" s="1" t="s">
        <v>74</v>
      </c>
      <c r="E711" s="1" t="s">
        <v>56</v>
      </c>
      <c r="F711" s="1" t="s">
        <v>29</v>
      </c>
      <c r="G711" s="1" t="s">
        <v>30</v>
      </c>
      <c r="H711" s="1" t="s">
        <v>398</v>
      </c>
      <c r="I711" s="1" t="s">
        <v>396</v>
      </c>
      <c r="J711" s="1" t="s">
        <v>26</v>
      </c>
      <c r="K711" s="1">
        <v>145</v>
      </c>
      <c r="L711" s="1">
        <v>30303</v>
      </c>
      <c r="M711" s="2">
        <f t="shared" si="186"/>
        <v>4393935</v>
      </c>
      <c r="N711" s="1">
        <v>727635.64</v>
      </c>
      <c r="O711" s="1">
        <f t="shared" si="187"/>
        <v>5121570.6399999997</v>
      </c>
      <c r="P711" s="1">
        <v>8918</v>
      </c>
      <c r="Q711" s="1">
        <f t="shared" si="188"/>
        <v>5112652.6399999997</v>
      </c>
      <c r="R711" s="1">
        <v>2190007.5</v>
      </c>
      <c r="S711" s="1">
        <f t="shared" si="189"/>
        <v>292001</v>
      </c>
      <c r="T711" s="1">
        <f t="shared" si="190"/>
        <v>438001.5</v>
      </c>
      <c r="U711" s="1">
        <v>2920010</v>
      </c>
      <c r="V711" s="1">
        <f t="shared" si="185"/>
        <v>2192642.6399999997</v>
      </c>
      <c r="W711" s="1">
        <v>3.7</v>
      </c>
    </row>
    <row r="712" spans="1:23" x14ac:dyDescent="0.25">
      <c r="A712" s="1" t="s">
        <v>376</v>
      </c>
      <c r="B712" s="1" t="s">
        <v>14</v>
      </c>
      <c r="C712" s="1" t="s">
        <v>408</v>
      </c>
      <c r="D712" s="1" t="s">
        <v>62</v>
      </c>
      <c r="E712" s="1" t="s">
        <v>43</v>
      </c>
      <c r="F712" s="1" t="s">
        <v>17</v>
      </c>
      <c r="G712" s="1" t="s">
        <v>38</v>
      </c>
      <c r="H712" s="1" t="s">
        <v>398</v>
      </c>
      <c r="I712" s="1" t="s">
        <v>19</v>
      </c>
      <c r="J712" s="1" t="s">
        <v>26</v>
      </c>
      <c r="K712" s="1">
        <v>98</v>
      </c>
      <c r="L712" s="1">
        <v>11138</v>
      </c>
      <c r="M712" s="2">
        <f t="shared" si="186"/>
        <v>1091524</v>
      </c>
      <c r="N712" s="1">
        <v>172897.4</v>
      </c>
      <c r="O712" s="1">
        <f t="shared" si="187"/>
        <v>1264421.3999999999</v>
      </c>
      <c r="P712" s="1">
        <v>7542</v>
      </c>
      <c r="Q712" s="1">
        <f t="shared" si="188"/>
        <v>1256879.3999999999</v>
      </c>
      <c r="R712" s="1">
        <f>0.62*U712</f>
        <v>496652.24</v>
      </c>
      <c r="S712" s="1">
        <f>U712*0.2</f>
        <v>160210.40000000002</v>
      </c>
      <c r="T712" s="1">
        <f t="shared" si="190"/>
        <v>144189.35999999999</v>
      </c>
      <c r="U712" s="1">
        <v>801052</v>
      </c>
      <c r="V712" s="1">
        <f t="shared" si="185"/>
        <v>455827.39999999991</v>
      </c>
      <c r="W712" s="1">
        <v>4.7</v>
      </c>
    </row>
    <row r="713" spans="1:23" x14ac:dyDescent="0.25">
      <c r="A713" s="1" t="s">
        <v>369</v>
      </c>
      <c r="B713" s="1" t="s">
        <v>58</v>
      </c>
      <c r="C713" s="1" t="s">
        <v>408</v>
      </c>
      <c r="D713" s="1" t="s">
        <v>55</v>
      </c>
      <c r="E713" s="1" t="s">
        <v>56</v>
      </c>
      <c r="F713" s="1" t="s">
        <v>29</v>
      </c>
      <c r="G713" s="1" t="s">
        <v>30</v>
      </c>
      <c r="H713" s="1" t="s">
        <v>398</v>
      </c>
      <c r="I713" s="1" t="s">
        <v>396</v>
      </c>
      <c r="J713" s="1" t="s">
        <v>26</v>
      </c>
      <c r="K713" s="1">
        <v>182</v>
      </c>
      <c r="L713" s="1">
        <v>19304</v>
      </c>
      <c r="M713" s="2">
        <f t="shared" si="186"/>
        <v>3513328</v>
      </c>
      <c r="N713" s="1">
        <v>600779.09</v>
      </c>
      <c r="O713" s="1">
        <f t="shared" si="187"/>
        <v>4114107.09</v>
      </c>
      <c r="P713" s="1">
        <v>9653</v>
      </c>
      <c r="Q713" s="1">
        <f t="shared" si="188"/>
        <v>4104454.09</v>
      </c>
      <c r="R713" s="1">
        <v>1936525.5</v>
      </c>
      <c r="S713" s="1">
        <f t="shared" ref="S713:S715" si="191">U713*0.1</f>
        <v>258203.40000000002</v>
      </c>
      <c r="T713" s="1">
        <f t="shared" si="190"/>
        <v>387305.10000000009</v>
      </c>
      <c r="U713" s="1">
        <v>2582034</v>
      </c>
      <c r="V713" s="1">
        <f t="shared" si="185"/>
        <v>1522420.0899999999</v>
      </c>
      <c r="W713" s="1">
        <v>3.9</v>
      </c>
    </row>
    <row r="714" spans="1:23" x14ac:dyDescent="0.25">
      <c r="A714" s="1" t="s">
        <v>322</v>
      </c>
      <c r="B714" s="1" t="s">
        <v>77</v>
      </c>
      <c r="C714" s="1" t="s">
        <v>408</v>
      </c>
      <c r="D714" s="1" t="s">
        <v>15</v>
      </c>
      <c r="E714" s="1" t="s">
        <v>16</v>
      </c>
      <c r="F714" s="1" t="s">
        <v>29</v>
      </c>
      <c r="G714" s="1" t="s">
        <v>91</v>
      </c>
      <c r="H714" s="1" t="s">
        <v>399</v>
      </c>
      <c r="I714" s="1" t="s">
        <v>396</v>
      </c>
      <c r="J714" s="1" t="s">
        <v>26</v>
      </c>
      <c r="K714" s="1">
        <v>128</v>
      </c>
      <c r="L714" s="1">
        <v>20209</v>
      </c>
      <c r="M714" s="2">
        <f t="shared" si="186"/>
        <v>2586752</v>
      </c>
      <c r="N714" s="1">
        <v>465615.35999999999</v>
      </c>
      <c r="O714" s="1">
        <f t="shared" si="187"/>
        <v>3052367.36</v>
      </c>
      <c r="P714" s="1">
        <v>8366</v>
      </c>
      <c r="Q714" s="1">
        <f t="shared" si="188"/>
        <v>3044001.36</v>
      </c>
      <c r="R714" s="1">
        <v>446720</v>
      </c>
      <c r="S714" s="1">
        <f t="shared" si="191"/>
        <v>178688</v>
      </c>
      <c r="T714" s="1">
        <f t="shared" si="190"/>
        <v>1161472</v>
      </c>
      <c r="U714" s="1">
        <v>1786880</v>
      </c>
      <c r="V714" s="1">
        <f t="shared" si="185"/>
        <v>1257121.3599999999</v>
      </c>
      <c r="W714" s="1">
        <v>4.5999999999999996</v>
      </c>
    </row>
    <row r="715" spans="1:23" x14ac:dyDescent="0.25">
      <c r="A715" s="1" t="s">
        <v>120</v>
      </c>
      <c r="B715" s="1" t="s">
        <v>37</v>
      </c>
      <c r="C715" s="1" t="s">
        <v>408</v>
      </c>
      <c r="D715" s="1" t="s">
        <v>78</v>
      </c>
      <c r="E715" s="1" t="s">
        <v>49</v>
      </c>
      <c r="F715" s="1" t="s">
        <v>29</v>
      </c>
      <c r="G715" s="1" t="s">
        <v>30</v>
      </c>
      <c r="H715" s="1" t="s">
        <v>398</v>
      </c>
      <c r="I715" s="1" t="s">
        <v>19</v>
      </c>
      <c r="J715" s="1" t="s">
        <v>26</v>
      </c>
      <c r="K715" s="1">
        <v>197</v>
      </c>
      <c r="L715" s="1">
        <v>27889</v>
      </c>
      <c r="M715" s="2">
        <f t="shared" si="186"/>
        <v>5494133</v>
      </c>
      <c r="N715" s="1">
        <v>939496.74</v>
      </c>
      <c r="O715" s="1">
        <f t="shared" si="187"/>
        <v>6433629.7400000002</v>
      </c>
      <c r="P715" s="1">
        <v>8934</v>
      </c>
      <c r="Q715" s="1">
        <f t="shared" si="188"/>
        <v>6424695.7400000002</v>
      </c>
      <c r="R715" s="1">
        <v>2226395.5</v>
      </c>
      <c r="S715" s="1">
        <f t="shared" si="191"/>
        <v>445279.10000000003</v>
      </c>
      <c r="T715" s="1">
        <f t="shared" si="190"/>
        <v>1781116.4</v>
      </c>
      <c r="U715" s="1">
        <v>4452791</v>
      </c>
      <c r="V715" s="1">
        <f t="shared" si="185"/>
        <v>1971904.7400000002</v>
      </c>
      <c r="W715" s="1">
        <v>4.0999999999999996</v>
      </c>
    </row>
    <row r="716" spans="1:23" x14ac:dyDescent="0.25">
      <c r="A716" s="1" t="s">
        <v>293</v>
      </c>
      <c r="B716" s="1" t="s">
        <v>32</v>
      </c>
      <c r="C716" s="1" t="s">
        <v>408</v>
      </c>
      <c r="D716" s="1" t="s">
        <v>78</v>
      </c>
      <c r="E716" s="1" t="s">
        <v>49</v>
      </c>
      <c r="F716" s="1" t="s">
        <v>17</v>
      </c>
      <c r="G716" s="1" t="s">
        <v>35</v>
      </c>
      <c r="H716" s="1" t="s">
        <v>398</v>
      </c>
      <c r="I716" s="1" t="s">
        <v>396</v>
      </c>
      <c r="J716" s="1" t="s">
        <v>46</v>
      </c>
      <c r="K716" s="1">
        <v>85</v>
      </c>
      <c r="L716" s="1">
        <v>14763</v>
      </c>
      <c r="M716" s="2">
        <f t="shared" si="186"/>
        <v>1254855</v>
      </c>
      <c r="N716" s="1">
        <v>191992.82</v>
      </c>
      <c r="O716" s="1">
        <f t="shared" si="187"/>
        <v>1446847.82</v>
      </c>
      <c r="P716" s="1">
        <v>6857</v>
      </c>
      <c r="Q716" s="1">
        <f t="shared" si="188"/>
        <v>1439990.82</v>
      </c>
      <c r="R716" s="1">
        <f>0.62*U716</f>
        <v>605891.9</v>
      </c>
      <c r="S716" s="1">
        <f>U716*0.2</f>
        <v>195449</v>
      </c>
      <c r="T716" s="1">
        <f t="shared" si="190"/>
        <v>175904.09999999998</v>
      </c>
      <c r="U716" s="1">
        <v>977245</v>
      </c>
      <c r="V716" s="1">
        <f t="shared" si="185"/>
        <v>462745.82000000007</v>
      </c>
      <c r="W716" s="1">
        <v>4.9000000000000004</v>
      </c>
    </row>
    <row r="717" spans="1:23" x14ac:dyDescent="0.25">
      <c r="A717" s="1" t="s">
        <v>377</v>
      </c>
      <c r="B717" s="1" t="s">
        <v>21</v>
      </c>
      <c r="C717" s="1" t="s">
        <v>408</v>
      </c>
      <c r="D717" s="1" t="s">
        <v>74</v>
      </c>
      <c r="E717" s="1" t="s">
        <v>56</v>
      </c>
      <c r="F717" s="1" t="s">
        <v>59</v>
      </c>
      <c r="G717" s="1" t="s">
        <v>60</v>
      </c>
      <c r="H717" s="1" t="s">
        <v>398</v>
      </c>
      <c r="I717" s="1" t="s">
        <v>396</v>
      </c>
      <c r="J717" s="1" t="s">
        <v>46</v>
      </c>
      <c r="K717" s="1">
        <v>159</v>
      </c>
      <c r="L717" s="1">
        <v>3242</v>
      </c>
      <c r="M717" s="2">
        <f t="shared" si="186"/>
        <v>515478</v>
      </c>
      <c r="N717" s="1">
        <v>81651.72</v>
      </c>
      <c r="O717" s="1">
        <f t="shared" si="187"/>
        <v>597129.72</v>
      </c>
      <c r="P717" s="1">
        <v>5030</v>
      </c>
      <c r="Q717" s="1">
        <f t="shared" si="188"/>
        <v>592099.72</v>
      </c>
      <c r="R717" s="1">
        <f t="shared" ref="R717:R718" si="192">0.7*U717</f>
        <v>268678.2</v>
      </c>
      <c r="S717" s="1">
        <f t="shared" ref="S717:S771" si="193">U717*0.2</f>
        <v>76765.2</v>
      </c>
      <c r="T717" s="1">
        <f t="shared" si="190"/>
        <v>38382.599999999977</v>
      </c>
      <c r="U717" s="1">
        <v>383826</v>
      </c>
      <c r="V717" s="1">
        <f t="shared" si="185"/>
        <v>208273.71999999997</v>
      </c>
      <c r="W717" s="1">
        <v>3.8</v>
      </c>
    </row>
    <row r="718" spans="1:23" x14ac:dyDescent="0.25">
      <c r="A718" s="1" t="s">
        <v>311</v>
      </c>
      <c r="B718" s="1" t="s">
        <v>41</v>
      </c>
      <c r="C718" s="1" t="s">
        <v>408</v>
      </c>
      <c r="D718" s="1" t="s">
        <v>74</v>
      </c>
      <c r="E718" s="1" t="s">
        <v>56</v>
      </c>
      <c r="F718" s="1" t="s">
        <v>59</v>
      </c>
      <c r="G718" s="1" t="s">
        <v>121</v>
      </c>
      <c r="H718" s="1" t="s">
        <v>399</v>
      </c>
      <c r="I718" s="1" t="s">
        <v>39</v>
      </c>
      <c r="J718" s="1" t="s">
        <v>26</v>
      </c>
      <c r="K718" s="1">
        <v>33</v>
      </c>
      <c r="L718" s="1">
        <v>2241</v>
      </c>
      <c r="M718" s="2">
        <f t="shared" si="186"/>
        <v>73953</v>
      </c>
      <c r="N718" s="1">
        <v>11714.16</v>
      </c>
      <c r="O718" s="1">
        <f t="shared" si="187"/>
        <v>85667.16</v>
      </c>
      <c r="P718" s="1">
        <v>8453</v>
      </c>
      <c r="Q718" s="1">
        <f t="shared" si="188"/>
        <v>77214.16</v>
      </c>
      <c r="R718" s="1">
        <f t="shared" si="192"/>
        <v>34003.199999999997</v>
      </c>
      <c r="S718" s="1">
        <f t="shared" si="193"/>
        <v>9715.2000000000007</v>
      </c>
      <c r="T718" s="1">
        <f t="shared" si="190"/>
        <v>4857.6000000000058</v>
      </c>
      <c r="U718" s="1">
        <v>48576</v>
      </c>
      <c r="V718" s="1">
        <f t="shared" si="185"/>
        <v>28638.160000000003</v>
      </c>
      <c r="W718" s="1">
        <v>4.9000000000000004</v>
      </c>
    </row>
    <row r="719" spans="1:23" x14ac:dyDescent="0.25">
      <c r="A719" s="1" t="s">
        <v>377</v>
      </c>
      <c r="B719" s="1" t="s">
        <v>34</v>
      </c>
      <c r="C719" s="1" t="s">
        <v>408</v>
      </c>
      <c r="D719" s="1" t="s">
        <v>78</v>
      </c>
      <c r="E719" s="1" t="s">
        <v>49</v>
      </c>
      <c r="F719" s="1" t="s">
        <v>17</v>
      </c>
      <c r="G719" s="1" t="s">
        <v>18</v>
      </c>
      <c r="H719" s="1" t="s">
        <v>398</v>
      </c>
      <c r="I719" s="1" t="s">
        <v>39</v>
      </c>
      <c r="J719" s="1" t="s">
        <v>46</v>
      </c>
      <c r="K719" s="1">
        <v>63</v>
      </c>
      <c r="L719" s="1">
        <v>27544</v>
      </c>
      <c r="M719" s="2">
        <f t="shared" si="186"/>
        <v>1735272</v>
      </c>
      <c r="N719" s="1">
        <v>312348.96000000002</v>
      </c>
      <c r="O719" s="1">
        <f t="shared" si="187"/>
        <v>2047620.96</v>
      </c>
      <c r="P719" s="1">
        <v>9947</v>
      </c>
      <c r="Q719" s="1">
        <f t="shared" si="188"/>
        <v>2037673.96</v>
      </c>
      <c r="R719" s="1">
        <f>0.62*U719</f>
        <v>837446.4</v>
      </c>
      <c r="S719" s="1">
        <f>U719*0.2</f>
        <v>270144</v>
      </c>
      <c r="T719" s="1">
        <f t="shared" si="190"/>
        <v>243129.59999999998</v>
      </c>
      <c r="U719" s="1">
        <v>1350720</v>
      </c>
      <c r="V719" s="1">
        <f t="shared" si="185"/>
        <v>686953.96</v>
      </c>
      <c r="W719" s="1">
        <v>4.3</v>
      </c>
    </row>
    <row r="720" spans="1:23" x14ac:dyDescent="0.25">
      <c r="A720" s="1" t="s">
        <v>92</v>
      </c>
      <c r="B720" s="1" t="s">
        <v>109</v>
      </c>
      <c r="C720" s="1" t="s">
        <v>408</v>
      </c>
      <c r="D720" s="1" t="s">
        <v>78</v>
      </c>
      <c r="E720" s="1" t="s">
        <v>49</v>
      </c>
      <c r="F720" s="1" t="s">
        <v>29</v>
      </c>
      <c r="G720" s="1" t="s">
        <v>53</v>
      </c>
      <c r="H720" s="1" t="s">
        <v>399</v>
      </c>
      <c r="I720" s="1" t="s">
        <v>397</v>
      </c>
      <c r="J720" s="1" t="s">
        <v>46</v>
      </c>
      <c r="K720" s="1">
        <v>91</v>
      </c>
      <c r="L720" s="1">
        <v>15726</v>
      </c>
      <c r="M720" s="2">
        <f t="shared" si="186"/>
        <v>1431066</v>
      </c>
      <c r="N720" s="1">
        <v>236984.53</v>
      </c>
      <c r="O720" s="1">
        <f t="shared" si="187"/>
        <v>1668050.53</v>
      </c>
      <c r="P720" s="1">
        <v>7116</v>
      </c>
      <c r="Q720" s="1">
        <f t="shared" si="188"/>
        <v>1660934.53</v>
      </c>
      <c r="R720" s="1">
        <v>552961.5</v>
      </c>
      <c r="S720" s="1">
        <f>U720*0.1</f>
        <v>110592.3</v>
      </c>
      <c r="T720" s="1">
        <f t="shared" si="190"/>
        <v>442369.19999999995</v>
      </c>
      <c r="U720" s="1">
        <v>1105923</v>
      </c>
      <c r="V720" s="1">
        <f t="shared" si="185"/>
        <v>555011.53</v>
      </c>
      <c r="W720" s="1">
        <v>4</v>
      </c>
    </row>
    <row r="721" spans="1:23" x14ac:dyDescent="0.25">
      <c r="A721" s="1" t="s">
        <v>378</v>
      </c>
      <c r="B721" s="1" t="s">
        <v>21</v>
      </c>
      <c r="C721" s="1" t="s">
        <v>408</v>
      </c>
      <c r="D721" s="1" t="s">
        <v>52</v>
      </c>
      <c r="E721" s="1" t="s">
        <v>23</v>
      </c>
      <c r="F721" s="1" t="s">
        <v>24</v>
      </c>
      <c r="G721" s="1" t="s">
        <v>119</v>
      </c>
      <c r="H721" s="1" t="s">
        <v>399</v>
      </c>
      <c r="I721" s="1" t="s">
        <v>396</v>
      </c>
      <c r="J721" s="1" t="s">
        <v>26</v>
      </c>
      <c r="K721" s="1">
        <v>72</v>
      </c>
      <c r="L721" s="1">
        <v>29427</v>
      </c>
      <c r="M721" s="2">
        <f t="shared" si="186"/>
        <v>2118744</v>
      </c>
      <c r="N721" s="1">
        <v>335609.05</v>
      </c>
      <c r="O721" s="1">
        <f t="shared" si="187"/>
        <v>2454353.0499999998</v>
      </c>
      <c r="P721" s="1">
        <v>7302</v>
      </c>
      <c r="Q721" s="1">
        <f t="shared" si="188"/>
        <v>2447051.0499999998</v>
      </c>
      <c r="R721" s="1">
        <v>416430</v>
      </c>
      <c r="S721" s="1">
        <f t="shared" si="193"/>
        <v>333144</v>
      </c>
      <c r="T721" s="1">
        <f t="shared" si="190"/>
        <v>916146</v>
      </c>
      <c r="U721" s="1">
        <v>1665720</v>
      </c>
      <c r="V721" s="1">
        <f t="shared" si="185"/>
        <v>781331.04999999981</v>
      </c>
      <c r="W721" s="1">
        <v>4.7</v>
      </c>
    </row>
    <row r="722" spans="1:23" x14ac:dyDescent="0.25">
      <c r="A722" s="1" t="s">
        <v>379</v>
      </c>
      <c r="B722" s="1" t="s">
        <v>32</v>
      </c>
      <c r="C722" s="1" t="s">
        <v>408</v>
      </c>
      <c r="D722" s="1" t="s">
        <v>52</v>
      </c>
      <c r="E722" s="1" t="s">
        <v>23</v>
      </c>
      <c r="F722" s="1" t="s">
        <v>59</v>
      </c>
      <c r="G722" s="1" t="s">
        <v>121</v>
      </c>
      <c r="H722" s="1" t="s">
        <v>399</v>
      </c>
      <c r="I722" s="1" t="s">
        <v>397</v>
      </c>
      <c r="J722" s="1" t="s">
        <v>26</v>
      </c>
      <c r="K722" s="1">
        <v>37</v>
      </c>
      <c r="L722" s="1">
        <v>19301</v>
      </c>
      <c r="M722" s="2">
        <f t="shared" si="186"/>
        <v>714137</v>
      </c>
      <c r="N722" s="1">
        <v>128544.66</v>
      </c>
      <c r="O722" s="1">
        <f t="shared" si="187"/>
        <v>842681.66</v>
      </c>
      <c r="P722" s="1">
        <v>5747</v>
      </c>
      <c r="Q722" s="1">
        <f t="shared" si="188"/>
        <v>836934.66</v>
      </c>
      <c r="R722" s="1">
        <f>0.7*U722</f>
        <v>329499.8</v>
      </c>
      <c r="S722" s="1">
        <f t="shared" si="193"/>
        <v>94142.8</v>
      </c>
      <c r="T722" s="1">
        <f t="shared" si="190"/>
        <v>47071.400000000023</v>
      </c>
      <c r="U722" s="1">
        <v>470714</v>
      </c>
      <c r="V722" s="1">
        <f t="shared" si="185"/>
        <v>366220.66000000003</v>
      </c>
      <c r="W722" s="1">
        <v>3.7</v>
      </c>
    </row>
    <row r="723" spans="1:23" x14ac:dyDescent="0.25">
      <c r="A723" s="1" t="s">
        <v>206</v>
      </c>
      <c r="B723" s="1" t="s">
        <v>109</v>
      </c>
      <c r="C723" s="1" t="s">
        <v>408</v>
      </c>
      <c r="D723" s="1" t="s">
        <v>62</v>
      </c>
      <c r="E723" s="1" t="s">
        <v>43</v>
      </c>
      <c r="F723" s="1" t="s">
        <v>17</v>
      </c>
      <c r="G723" s="1" t="s">
        <v>72</v>
      </c>
      <c r="H723" s="1" t="s">
        <v>399</v>
      </c>
      <c r="I723" s="1" t="s">
        <v>395</v>
      </c>
      <c r="J723" s="1" t="s">
        <v>46</v>
      </c>
      <c r="K723" s="1">
        <v>60</v>
      </c>
      <c r="L723" s="1">
        <v>31776</v>
      </c>
      <c r="M723" s="2">
        <f t="shared" si="186"/>
        <v>1906560</v>
      </c>
      <c r="N723" s="1">
        <v>343180.79999999999</v>
      </c>
      <c r="O723" s="1">
        <f t="shared" si="187"/>
        <v>2249740.7999999998</v>
      </c>
      <c r="P723" s="1">
        <v>7670</v>
      </c>
      <c r="Q723" s="1">
        <f t="shared" si="188"/>
        <v>2242070.7999999998</v>
      </c>
      <c r="R723" s="1">
        <f t="shared" ref="R723:R724" si="194">0.62*U723</f>
        <v>771230.4</v>
      </c>
      <c r="S723" s="1">
        <f t="shared" si="193"/>
        <v>248784</v>
      </c>
      <c r="T723" s="1">
        <f t="shared" si="190"/>
        <v>223905.59999999998</v>
      </c>
      <c r="U723" s="1">
        <v>1243920</v>
      </c>
      <c r="V723" s="1">
        <f t="shared" si="185"/>
        <v>998150.79999999981</v>
      </c>
      <c r="W723" s="1">
        <v>3.7</v>
      </c>
    </row>
    <row r="724" spans="1:23" x14ac:dyDescent="0.25">
      <c r="A724" s="1" t="s">
        <v>242</v>
      </c>
      <c r="B724" s="1" t="s">
        <v>109</v>
      </c>
      <c r="C724" s="1" t="s">
        <v>408</v>
      </c>
      <c r="D724" s="1" t="s">
        <v>62</v>
      </c>
      <c r="E724" s="1" t="s">
        <v>43</v>
      </c>
      <c r="F724" s="1" t="s">
        <v>17</v>
      </c>
      <c r="G724" s="1" t="s">
        <v>38</v>
      </c>
      <c r="H724" s="1" t="s">
        <v>399</v>
      </c>
      <c r="I724" s="1" t="s">
        <v>397</v>
      </c>
      <c r="J724" s="1" t="s">
        <v>46</v>
      </c>
      <c r="K724" s="1">
        <v>198</v>
      </c>
      <c r="L724" s="1">
        <v>29699</v>
      </c>
      <c r="M724" s="2">
        <f t="shared" si="186"/>
        <v>5880402</v>
      </c>
      <c r="N724" s="1">
        <v>1058472.3600000001</v>
      </c>
      <c r="O724" s="1">
        <f t="shared" si="187"/>
        <v>6938874.3600000003</v>
      </c>
      <c r="P724" s="1">
        <v>9950</v>
      </c>
      <c r="Q724" s="1">
        <f t="shared" si="188"/>
        <v>6928924.3600000003</v>
      </c>
      <c r="R724" s="1">
        <f t="shared" si="194"/>
        <v>2444765.4</v>
      </c>
      <c r="S724" s="1">
        <f t="shared" si="193"/>
        <v>788634</v>
      </c>
      <c r="T724" s="1">
        <f t="shared" si="190"/>
        <v>709770.60000000009</v>
      </c>
      <c r="U724" s="1">
        <v>3943170</v>
      </c>
      <c r="V724" s="1">
        <f t="shared" si="185"/>
        <v>2985754.3600000003</v>
      </c>
      <c r="W724" s="1">
        <v>4.5</v>
      </c>
    </row>
    <row r="725" spans="1:23" x14ac:dyDescent="0.25">
      <c r="A725" s="1" t="s">
        <v>106</v>
      </c>
      <c r="B725" s="1" t="s">
        <v>69</v>
      </c>
      <c r="C725" s="1" t="s">
        <v>408</v>
      </c>
      <c r="D725" s="1" t="s">
        <v>52</v>
      </c>
      <c r="E725" s="1" t="s">
        <v>23</v>
      </c>
      <c r="F725" s="1" t="s">
        <v>24</v>
      </c>
      <c r="G725" s="1" t="s">
        <v>119</v>
      </c>
      <c r="H725" s="1" t="s">
        <v>399</v>
      </c>
      <c r="I725" s="1" t="s">
        <v>395</v>
      </c>
      <c r="J725" s="1" t="s">
        <v>26</v>
      </c>
      <c r="K725" s="1">
        <v>113</v>
      </c>
      <c r="L725" s="1">
        <v>30131</v>
      </c>
      <c r="M725" s="2">
        <f t="shared" si="186"/>
        <v>3404803</v>
      </c>
      <c r="N725" s="1">
        <v>520934.86</v>
      </c>
      <c r="O725" s="1">
        <f t="shared" si="187"/>
        <v>3925737.86</v>
      </c>
      <c r="P725" s="1">
        <v>7140</v>
      </c>
      <c r="Q725" s="1">
        <f t="shared" si="188"/>
        <v>3918597.86</v>
      </c>
      <c r="R725" s="1">
        <v>1916790.75</v>
      </c>
      <c r="S725" s="1">
        <f t="shared" si="193"/>
        <v>511144.2</v>
      </c>
      <c r="T725" s="1">
        <f t="shared" si="190"/>
        <v>127786.05000000005</v>
      </c>
      <c r="U725" s="1">
        <v>2555721</v>
      </c>
      <c r="V725" s="1">
        <f t="shared" si="185"/>
        <v>1362876.8599999999</v>
      </c>
      <c r="W725" s="1">
        <v>3.8</v>
      </c>
    </row>
    <row r="726" spans="1:23" x14ac:dyDescent="0.25">
      <c r="A726" s="1" t="s">
        <v>105</v>
      </c>
      <c r="B726" s="1" t="s">
        <v>69</v>
      </c>
      <c r="C726" s="1" t="s">
        <v>408</v>
      </c>
      <c r="D726" s="1" t="s">
        <v>22</v>
      </c>
      <c r="E726" s="1" t="s">
        <v>23</v>
      </c>
      <c r="F726" s="1" t="s">
        <v>29</v>
      </c>
      <c r="G726" s="1" t="s">
        <v>97</v>
      </c>
      <c r="H726" s="1" t="s">
        <v>398</v>
      </c>
      <c r="I726" s="1" t="s">
        <v>39</v>
      </c>
      <c r="J726" s="1" t="s">
        <v>46</v>
      </c>
      <c r="K726" s="1">
        <v>98</v>
      </c>
      <c r="L726" s="1">
        <v>30848</v>
      </c>
      <c r="M726" s="2">
        <f t="shared" si="186"/>
        <v>3023104</v>
      </c>
      <c r="N726" s="1">
        <v>544158.71999999997</v>
      </c>
      <c r="O726" s="1">
        <f t="shared" si="187"/>
        <v>3567262.7199999997</v>
      </c>
      <c r="P726" s="1">
        <v>6423</v>
      </c>
      <c r="Q726" s="1">
        <f t="shared" si="188"/>
        <v>3560839.7199999997</v>
      </c>
      <c r="R726" s="1">
        <v>512099</v>
      </c>
      <c r="S726" s="1">
        <f>U726*0.1</f>
        <v>204839.6</v>
      </c>
      <c r="T726" s="1">
        <f t="shared" si="190"/>
        <v>1331457.3999999999</v>
      </c>
      <c r="U726" s="1">
        <v>2048396</v>
      </c>
      <c r="V726" s="1">
        <f t="shared" si="185"/>
        <v>1512443.7199999997</v>
      </c>
      <c r="W726" s="1">
        <v>3.6</v>
      </c>
    </row>
    <row r="727" spans="1:23" x14ac:dyDescent="0.25">
      <c r="A727" s="1" t="s">
        <v>256</v>
      </c>
      <c r="B727" s="1" t="s">
        <v>77</v>
      </c>
      <c r="C727" s="1" t="s">
        <v>408</v>
      </c>
      <c r="D727" s="1" t="s">
        <v>48</v>
      </c>
      <c r="E727" s="1" t="s">
        <v>49</v>
      </c>
      <c r="F727" s="1" t="s">
        <v>59</v>
      </c>
      <c r="G727" s="1" t="s">
        <v>121</v>
      </c>
      <c r="H727" s="1" t="s">
        <v>398</v>
      </c>
      <c r="I727" s="1" t="s">
        <v>19</v>
      </c>
      <c r="J727" s="1" t="s">
        <v>26</v>
      </c>
      <c r="K727" s="1">
        <v>18</v>
      </c>
      <c r="L727" s="1">
        <v>8944</v>
      </c>
      <c r="M727" s="2">
        <f t="shared" si="186"/>
        <v>160992</v>
      </c>
      <c r="N727" s="1">
        <v>28978.560000000001</v>
      </c>
      <c r="O727" s="1">
        <f t="shared" si="187"/>
        <v>189970.56</v>
      </c>
      <c r="P727" s="1">
        <v>6541</v>
      </c>
      <c r="Q727" s="1">
        <f t="shared" si="188"/>
        <v>183429.56</v>
      </c>
      <c r="R727" s="1">
        <f>0.7*U727</f>
        <v>92169</v>
      </c>
      <c r="S727" s="1">
        <f t="shared" si="193"/>
        <v>26334</v>
      </c>
      <c r="T727" s="1">
        <f t="shared" si="190"/>
        <v>13167</v>
      </c>
      <c r="U727" s="1">
        <v>131670</v>
      </c>
      <c r="V727" s="1">
        <f t="shared" si="185"/>
        <v>51759.56</v>
      </c>
      <c r="W727" s="1">
        <v>4.5</v>
      </c>
    </row>
    <row r="728" spans="1:23" x14ac:dyDescent="0.25">
      <c r="A728" s="1" t="s">
        <v>125</v>
      </c>
      <c r="B728" s="1" t="s">
        <v>109</v>
      </c>
      <c r="C728" s="1" t="s">
        <v>408</v>
      </c>
      <c r="D728" s="1" t="s">
        <v>55</v>
      </c>
      <c r="E728" s="1" t="s">
        <v>56</v>
      </c>
      <c r="F728" s="1" t="s">
        <v>17</v>
      </c>
      <c r="G728" s="1" t="s">
        <v>75</v>
      </c>
      <c r="H728" s="1" t="s">
        <v>399</v>
      </c>
      <c r="I728" s="1" t="s">
        <v>39</v>
      </c>
      <c r="J728" s="1" t="s">
        <v>26</v>
      </c>
      <c r="K728" s="1">
        <v>87</v>
      </c>
      <c r="L728" s="1">
        <v>18745</v>
      </c>
      <c r="M728" s="2">
        <f t="shared" si="186"/>
        <v>1630815</v>
      </c>
      <c r="N728" s="1">
        <v>293546.7</v>
      </c>
      <c r="O728" s="1">
        <f t="shared" si="187"/>
        <v>1924361.7</v>
      </c>
      <c r="P728" s="1">
        <v>6383</v>
      </c>
      <c r="Q728" s="1">
        <f t="shared" si="188"/>
        <v>1917978.7</v>
      </c>
      <c r="R728" s="1">
        <f t="shared" ref="R728:R729" si="195">0.62*U728</f>
        <v>779109.36</v>
      </c>
      <c r="S728" s="1">
        <f t="shared" si="193"/>
        <v>251325.6</v>
      </c>
      <c r="T728" s="1">
        <f t="shared" si="190"/>
        <v>226193.04000000004</v>
      </c>
      <c r="U728" s="1">
        <v>1256628</v>
      </c>
      <c r="V728" s="1">
        <f t="shared" si="185"/>
        <v>661350.69999999995</v>
      </c>
      <c r="W728" s="1">
        <v>4.3</v>
      </c>
    </row>
    <row r="729" spans="1:23" x14ac:dyDescent="0.25">
      <c r="A729" s="1" t="s">
        <v>95</v>
      </c>
      <c r="B729" s="1" t="s">
        <v>37</v>
      </c>
      <c r="C729" s="1" t="s">
        <v>408</v>
      </c>
      <c r="D729" s="1" t="s">
        <v>22</v>
      </c>
      <c r="E729" s="1" t="s">
        <v>23</v>
      </c>
      <c r="F729" s="1" t="s">
        <v>17</v>
      </c>
      <c r="G729" s="1" t="s">
        <v>38</v>
      </c>
      <c r="H729" s="1" t="s">
        <v>398</v>
      </c>
      <c r="I729" s="1" t="s">
        <v>396</v>
      </c>
      <c r="J729" s="1" t="s">
        <v>26</v>
      </c>
      <c r="K729" s="1">
        <v>189</v>
      </c>
      <c r="L729" s="1">
        <v>27382</v>
      </c>
      <c r="M729" s="2">
        <f t="shared" si="186"/>
        <v>5175198</v>
      </c>
      <c r="N729" s="1">
        <v>857012.79</v>
      </c>
      <c r="O729" s="1">
        <f t="shared" si="187"/>
        <v>6032210.79</v>
      </c>
      <c r="P729" s="1">
        <v>6682</v>
      </c>
      <c r="Q729" s="1">
        <f t="shared" si="188"/>
        <v>6025528.79</v>
      </c>
      <c r="R729" s="1">
        <f t="shared" si="195"/>
        <v>2255011.92</v>
      </c>
      <c r="S729" s="1">
        <f t="shared" si="193"/>
        <v>727423.20000000007</v>
      </c>
      <c r="T729" s="1">
        <f t="shared" si="190"/>
        <v>654680.87999999989</v>
      </c>
      <c r="U729" s="1">
        <v>3637116</v>
      </c>
      <c r="V729" s="1">
        <f t="shared" si="185"/>
        <v>2388412.79</v>
      </c>
      <c r="W729" s="1">
        <v>4.0999999999999996</v>
      </c>
    </row>
    <row r="730" spans="1:23" x14ac:dyDescent="0.25">
      <c r="A730" s="1" t="s">
        <v>380</v>
      </c>
      <c r="B730" s="1" t="s">
        <v>28</v>
      </c>
      <c r="C730" s="1" t="s">
        <v>408</v>
      </c>
      <c r="D730" s="1" t="s">
        <v>62</v>
      </c>
      <c r="E730" s="1" t="s">
        <v>43</v>
      </c>
      <c r="F730" s="1" t="s">
        <v>59</v>
      </c>
      <c r="G730" s="1" t="s">
        <v>121</v>
      </c>
      <c r="H730" s="1" t="s">
        <v>398</v>
      </c>
      <c r="I730" s="1" t="s">
        <v>19</v>
      </c>
      <c r="J730" s="1" t="s">
        <v>46</v>
      </c>
      <c r="K730" s="1">
        <v>83</v>
      </c>
      <c r="L730" s="1">
        <v>3579</v>
      </c>
      <c r="M730" s="2">
        <f t="shared" si="186"/>
        <v>297057</v>
      </c>
      <c r="N730" s="1">
        <v>50796.75</v>
      </c>
      <c r="O730" s="1">
        <f t="shared" si="187"/>
        <v>347853.75</v>
      </c>
      <c r="P730" s="1">
        <v>9331</v>
      </c>
      <c r="Q730" s="1">
        <f t="shared" si="188"/>
        <v>338522.75</v>
      </c>
      <c r="R730" s="1">
        <f>0.7*U730</f>
        <v>164539.19999999998</v>
      </c>
      <c r="S730" s="1">
        <f t="shared" si="193"/>
        <v>47011.200000000004</v>
      </c>
      <c r="T730" s="1">
        <f t="shared" si="190"/>
        <v>23505.600000000006</v>
      </c>
      <c r="U730" s="1">
        <v>235056</v>
      </c>
      <c r="V730" s="1">
        <f t="shared" si="185"/>
        <v>103466.75</v>
      </c>
      <c r="W730" s="1">
        <v>4.3</v>
      </c>
    </row>
    <row r="731" spans="1:23" x14ac:dyDescent="0.25">
      <c r="A731" s="1" t="s">
        <v>203</v>
      </c>
      <c r="B731" s="1" t="s">
        <v>28</v>
      </c>
      <c r="C731" s="1" t="s">
        <v>408</v>
      </c>
      <c r="D731" s="1" t="s">
        <v>15</v>
      </c>
      <c r="E731" s="1" t="s">
        <v>16</v>
      </c>
      <c r="F731" s="1" t="s">
        <v>24</v>
      </c>
      <c r="G731" s="1" t="s">
        <v>44</v>
      </c>
      <c r="H731" s="1" t="s">
        <v>399</v>
      </c>
      <c r="I731" s="1" t="s">
        <v>19</v>
      </c>
      <c r="J731" s="1" t="s">
        <v>46</v>
      </c>
      <c r="K731" s="1">
        <v>187</v>
      </c>
      <c r="L731" s="1">
        <v>21408</v>
      </c>
      <c r="M731" s="2">
        <f t="shared" si="186"/>
        <v>4003296</v>
      </c>
      <c r="N731" s="1">
        <v>662945.81999999995</v>
      </c>
      <c r="O731" s="1">
        <f t="shared" si="187"/>
        <v>4666241.82</v>
      </c>
      <c r="P731" s="1">
        <v>5038</v>
      </c>
      <c r="Q731" s="1">
        <f t="shared" si="188"/>
        <v>4661203.82</v>
      </c>
      <c r="R731" s="1">
        <v>649965.25</v>
      </c>
      <c r="S731" s="1">
        <f t="shared" si="193"/>
        <v>519972.2</v>
      </c>
      <c r="T731" s="1">
        <f t="shared" si="190"/>
        <v>1429923.55</v>
      </c>
      <c r="U731" s="1">
        <v>2599861</v>
      </c>
      <c r="V731" s="1">
        <f t="shared" si="185"/>
        <v>2061342.8200000003</v>
      </c>
      <c r="W731" s="1">
        <v>3.6</v>
      </c>
    </row>
    <row r="732" spans="1:23" x14ac:dyDescent="0.25">
      <c r="A732" s="1" t="s">
        <v>381</v>
      </c>
      <c r="B732" s="1" t="s">
        <v>69</v>
      </c>
      <c r="C732" s="1" t="s">
        <v>408</v>
      </c>
      <c r="D732" s="1" t="s">
        <v>55</v>
      </c>
      <c r="E732" s="1" t="s">
        <v>56</v>
      </c>
      <c r="F732" s="1" t="s">
        <v>24</v>
      </c>
      <c r="G732" s="1" t="s">
        <v>63</v>
      </c>
      <c r="H732" s="1" t="s">
        <v>398</v>
      </c>
      <c r="I732" s="1" t="s">
        <v>396</v>
      </c>
      <c r="J732" s="1" t="s">
        <v>26</v>
      </c>
      <c r="K732" s="1">
        <v>22</v>
      </c>
      <c r="L732" s="1">
        <v>30351</v>
      </c>
      <c r="M732" s="2">
        <f t="shared" si="186"/>
        <v>667722</v>
      </c>
      <c r="N732" s="1">
        <v>114180.46</v>
      </c>
      <c r="O732" s="1">
        <f t="shared" si="187"/>
        <v>781902.46</v>
      </c>
      <c r="P732" s="1">
        <v>5391</v>
      </c>
      <c r="Q732" s="1">
        <f t="shared" si="188"/>
        <v>776511.46</v>
      </c>
      <c r="R732" s="1">
        <v>392403</v>
      </c>
      <c r="S732" s="1">
        <f t="shared" si="193"/>
        <v>104640.8</v>
      </c>
      <c r="T732" s="1">
        <f t="shared" si="190"/>
        <v>26160.200000000012</v>
      </c>
      <c r="U732" s="1">
        <v>523204</v>
      </c>
      <c r="V732" s="1">
        <f t="shared" si="185"/>
        <v>253307.45999999996</v>
      </c>
      <c r="W732" s="1">
        <v>3.8</v>
      </c>
    </row>
    <row r="733" spans="1:23" x14ac:dyDescent="0.25">
      <c r="A733" s="1" t="s">
        <v>382</v>
      </c>
      <c r="B733" s="1" t="s">
        <v>51</v>
      </c>
      <c r="C733" s="1" t="s">
        <v>408</v>
      </c>
      <c r="D733" s="1" t="s">
        <v>55</v>
      </c>
      <c r="E733" s="1" t="s">
        <v>56</v>
      </c>
      <c r="F733" s="1" t="s">
        <v>17</v>
      </c>
      <c r="G733" s="1" t="s">
        <v>75</v>
      </c>
      <c r="H733" s="1" t="s">
        <v>399</v>
      </c>
      <c r="I733" s="1" t="s">
        <v>395</v>
      </c>
      <c r="J733" s="1" t="s">
        <v>46</v>
      </c>
      <c r="K733" s="1">
        <v>145</v>
      </c>
      <c r="L733" s="1">
        <v>22880</v>
      </c>
      <c r="M733" s="2">
        <f t="shared" si="186"/>
        <v>3317600</v>
      </c>
      <c r="N733" s="1">
        <v>549394.56000000006</v>
      </c>
      <c r="O733" s="1">
        <f t="shared" si="187"/>
        <v>3866994.56</v>
      </c>
      <c r="P733" s="1">
        <v>8889</v>
      </c>
      <c r="Q733" s="1">
        <f t="shared" si="188"/>
        <v>3858105.56</v>
      </c>
      <c r="R733" s="1">
        <f t="shared" ref="R733:R734" si="196">0.62*U733</f>
        <v>1385628.7</v>
      </c>
      <c r="S733" s="1">
        <f t="shared" si="193"/>
        <v>446977</v>
      </c>
      <c r="T733" s="1">
        <f t="shared" si="190"/>
        <v>402279.30000000005</v>
      </c>
      <c r="U733" s="1">
        <v>2234885</v>
      </c>
      <c r="V733" s="1">
        <f t="shared" si="185"/>
        <v>1623220.56</v>
      </c>
      <c r="W733" s="1">
        <v>3.7</v>
      </c>
    </row>
    <row r="734" spans="1:23" x14ac:dyDescent="0.25">
      <c r="A734" s="1" t="s">
        <v>313</v>
      </c>
      <c r="B734" s="1" t="s">
        <v>34</v>
      </c>
      <c r="C734" s="1" t="s">
        <v>408</v>
      </c>
      <c r="D734" s="1" t="s">
        <v>22</v>
      </c>
      <c r="E734" s="1" t="s">
        <v>23</v>
      </c>
      <c r="F734" s="1" t="s">
        <v>17</v>
      </c>
      <c r="G734" s="1" t="s">
        <v>35</v>
      </c>
      <c r="H734" s="1" t="s">
        <v>399</v>
      </c>
      <c r="I734" s="1" t="s">
        <v>397</v>
      </c>
      <c r="J734" s="1" t="s">
        <v>46</v>
      </c>
      <c r="K734" s="1">
        <v>79</v>
      </c>
      <c r="L734" s="1">
        <v>21409</v>
      </c>
      <c r="M734" s="2">
        <f t="shared" si="186"/>
        <v>1691311</v>
      </c>
      <c r="N734" s="1">
        <v>280081.09999999998</v>
      </c>
      <c r="O734" s="1">
        <f t="shared" si="187"/>
        <v>1971392.1</v>
      </c>
      <c r="P734" s="1">
        <v>7804</v>
      </c>
      <c r="Q734" s="1">
        <f t="shared" si="188"/>
        <v>1963588.1</v>
      </c>
      <c r="R734" s="1">
        <f t="shared" si="196"/>
        <v>678128.1</v>
      </c>
      <c r="S734" s="1">
        <f t="shared" si="193"/>
        <v>218751</v>
      </c>
      <c r="T734" s="1">
        <f t="shared" si="190"/>
        <v>196875.90000000002</v>
      </c>
      <c r="U734" s="1">
        <v>1093755</v>
      </c>
      <c r="V734" s="1">
        <f t="shared" si="185"/>
        <v>869833.10000000009</v>
      </c>
      <c r="W734" s="1">
        <v>4.9000000000000004</v>
      </c>
    </row>
    <row r="735" spans="1:23" x14ac:dyDescent="0.25">
      <c r="A735" s="1" t="s">
        <v>383</v>
      </c>
      <c r="B735" s="1" t="s">
        <v>41</v>
      </c>
      <c r="C735" s="1" t="s">
        <v>408</v>
      </c>
      <c r="D735" s="1" t="s">
        <v>62</v>
      </c>
      <c r="E735" s="1" t="s">
        <v>43</v>
      </c>
      <c r="F735" s="1" t="s">
        <v>59</v>
      </c>
      <c r="G735" s="1" t="s">
        <v>103</v>
      </c>
      <c r="H735" s="1" t="s">
        <v>399</v>
      </c>
      <c r="I735" s="1" t="s">
        <v>397</v>
      </c>
      <c r="J735" s="1" t="s">
        <v>46</v>
      </c>
      <c r="K735" s="1">
        <v>30</v>
      </c>
      <c r="L735" s="1">
        <v>14024</v>
      </c>
      <c r="M735" s="2">
        <f t="shared" si="186"/>
        <v>420720</v>
      </c>
      <c r="N735" s="1">
        <v>71943.12</v>
      </c>
      <c r="O735" s="1">
        <f t="shared" si="187"/>
        <v>492663.12</v>
      </c>
      <c r="P735" s="1">
        <v>5407</v>
      </c>
      <c r="Q735" s="1">
        <f t="shared" si="188"/>
        <v>487256.12</v>
      </c>
      <c r="R735" s="1">
        <f>0.7*U735</f>
        <v>206871</v>
      </c>
      <c r="S735" s="1">
        <f t="shared" si="193"/>
        <v>59106</v>
      </c>
      <c r="T735" s="1">
        <f t="shared" si="190"/>
        <v>29553</v>
      </c>
      <c r="U735" s="1">
        <v>295530</v>
      </c>
      <c r="V735" s="1">
        <f t="shared" si="185"/>
        <v>191726.12</v>
      </c>
      <c r="W735" s="1">
        <v>4.7</v>
      </c>
    </row>
    <row r="736" spans="1:23" x14ac:dyDescent="0.25">
      <c r="A736" s="1" t="s">
        <v>116</v>
      </c>
      <c r="B736" s="1" t="s">
        <v>37</v>
      </c>
      <c r="C736" s="1" t="s">
        <v>408</v>
      </c>
      <c r="D736" s="1" t="s">
        <v>74</v>
      </c>
      <c r="E736" s="1" t="s">
        <v>56</v>
      </c>
      <c r="F736" s="1" t="s">
        <v>24</v>
      </c>
      <c r="G736" s="1" t="s">
        <v>119</v>
      </c>
      <c r="H736" s="1" t="s">
        <v>399</v>
      </c>
      <c r="I736" s="1" t="s">
        <v>39</v>
      </c>
      <c r="J736" s="1" t="s">
        <v>46</v>
      </c>
      <c r="K736" s="1">
        <v>23</v>
      </c>
      <c r="L736" s="1">
        <v>24879</v>
      </c>
      <c r="M736" s="2">
        <f t="shared" si="186"/>
        <v>572217</v>
      </c>
      <c r="N736" s="1">
        <v>97849.11</v>
      </c>
      <c r="O736" s="1">
        <f t="shared" si="187"/>
        <v>670066.11</v>
      </c>
      <c r="P736" s="1">
        <v>6077</v>
      </c>
      <c r="Q736" s="1">
        <f t="shared" si="188"/>
        <v>663989.11</v>
      </c>
      <c r="R736" s="1">
        <v>278949.75</v>
      </c>
      <c r="S736" s="1">
        <f t="shared" si="193"/>
        <v>74386.600000000006</v>
      </c>
      <c r="T736" s="1">
        <f t="shared" si="190"/>
        <v>18596.650000000023</v>
      </c>
      <c r="U736" s="1">
        <v>371933</v>
      </c>
      <c r="V736" s="1">
        <f t="shared" si="185"/>
        <v>292056.11</v>
      </c>
      <c r="W736" s="1">
        <v>4.7</v>
      </c>
    </row>
    <row r="737" spans="1:23" x14ac:dyDescent="0.25">
      <c r="A737" s="1" t="s">
        <v>276</v>
      </c>
      <c r="B737" s="1" t="s">
        <v>77</v>
      </c>
      <c r="C737" s="1" t="s">
        <v>408</v>
      </c>
      <c r="D737" s="1" t="s">
        <v>62</v>
      </c>
      <c r="E737" s="1" t="s">
        <v>43</v>
      </c>
      <c r="F737" s="1" t="s">
        <v>24</v>
      </c>
      <c r="G737" s="1" t="s">
        <v>44</v>
      </c>
      <c r="H737" s="1" t="s">
        <v>398</v>
      </c>
      <c r="I737" s="1" t="s">
        <v>396</v>
      </c>
      <c r="J737" s="1" t="s">
        <v>46</v>
      </c>
      <c r="K737" s="1">
        <v>93</v>
      </c>
      <c r="L737" s="1">
        <v>10306</v>
      </c>
      <c r="M737" s="2">
        <f t="shared" si="186"/>
        <v>958458</v>
      </c>
      <c r="N737" s="1">
        <v>163896.32000000001</v>
      </c>
      <c r="O737" s="1">
        <f t="shared" si="187"/>
        <v>1122354.32</v>
      </c>
      <c r="P737" s="1">
        <v>7517</v>
      </c>
      <c r="Q737" s="1">
        <f t="shared" si="188"/>
        <v>1114837.32</v>
      </c>
      <c r="R737" s="1">
        <v>376696.5</v>
      </c>
      <c r="S737" s="1">
        <f t="shared" si="193"/>
        <v>150678.6</v>
      </c>
      <c r="T737" s="1">
        <f t="shared" si="190"/>
        <v>226017.90000000002</v>
      </c>
      <c r="U737" s="1">
        <v>753393</v>
      </c>
      <c r="V737" s="1">
        <f t="shared" si="185"/>
        <v>361444.32000000007</v>
      </c>
      <c r="W737" s="1">
        <v>4.4000000000000004</v>
      </c>
    </row>
    <row r="738" spans="1:23" x14ac:dyDescent="0.25">
      <c r="A738" s="1" t="s">
        <v>182</v>
      </c>
      <c r="B738" s="1" t="s">
        <v>21</v>
      </c>
      <c r="C738" s="1" t="s">
        <v>408</v>
      </c>
      <c r="D738" s="1" t="s">
        <v>48</v>
      </c>
      <c r="E738" s="1" t="s">
        <v>49</v>
      </c>
      <c r="F738" s="1" t="s">
        <v>17</v>
      </c>
      <c r="G738" s="1" t="s">
        <v>38</v>
      </c>
      <c r="H738" s="1" t="s">
        <v>398</v>
      </c>
      <c r="I738" s="1" t="s">
        <v>397</v>
      </c>
      <c r="J738" s="1" t="s">
        <v>46</v>
      </c>
      <c r="K738" s="1">
        <v>73</v>
      </c>
      <c r="L738" s="1">
        <v>13844</v>
      </c>
      <c r="M738" s="2">
        <f t="shared" si="186"/>
        <v>1010612</v>
      </c>
      <c r="N738" s="1">
        <v>160080.94</v>
      </c>
      <c r="O738" s="1">
        <f t="shared" si="187"/>
        <v>1170692.94</v>
      </c>
      <c r="P738" s="1">
        <v>6770</v>
      </c>
      <c r="Q738" s="1">
        <f t="shared" si="188"/>
        <v>1163922.94</v>
      </c>
      <c r="R738" s="1">
        <f>0.62*U738</f>
        <v>464367.6</v>
      </c>
      <c r="S738" s="1">
        <f>U738*0.2</f>
        <v>149796</v>
      </c>
      <c r="T738" s="1">
        <f t="shared" si="190"/>
        <v>134816.40000000002</v>
      </c>
      <c r="U738" s="1">
        <v>748980</v>
      </c>
      <c r="V738" s="1">
        <f t="shared" si="185"/>
        <v>414942.93999999994</v>
      </c>
      <c r="W738" s="1">
        <v>5</v>
      </c>
    </row>
    <row r="739" spans="1:23" x14ac:dyDescent="0.25">
      <c r="A739" s="1" t="s">
        <v>299</v>
      </c>
      <c r="B739" s="1" t="s">
        <v>28</v>
      </c>
      <c r="C739" s="1" t="s">
        <v>408</v>
      </c>
      <c r="D739" s="1" t="s">
        <v>74</v>
      </c>
      <c r="E739" s="1" t="s">
        <v>56</v>
      </c>
      <c r="F739" s="1" t="s">
        <v>59</v>
      </c>
      <c r="G739" s="1" t="s">
        <v>67</v>
      </c>
      <c r="H739" s="1" t="s">
        <v>399</v>
      </c>
      <c r="I739" s="1" t="s">
        <v>396</v>
      </c>
      <c r="J739" s="1" t="s">
        <v>26</v>
      </c>
      <c r="K739" s="1">
        <v>86</v>
      </c>
      <c r="L739" s="1">
        <v>8051</v>
      </c>
      <c r="M739" s="2">
        <f t="shared" si="186"/>
        <v>692386</v>
      </c>
      <c r="N739" s="1">
        <v>114659.12</v>
      </c>
      <c r="O739" s="1">
        <f t="shared" si="187"/>
        <v>807045.12</v>
      </c>
      <c r="P739" s="1">
        <v>6921</v>
      </c>
      <c r="Q739" s="1">
        <f t="shared" si="188"/>
        <v>800124.12</v>
      </c>
      <c r="R739" s="1">
        <f>0.7*U739</f>
        <v>385159.6</v>
      </c>
      <c r="S739" s="1">
        <f t="shared" si="193"/>
        <v>110045.6</v>
      </c>
      <c r="T739" s="1">
        <f t="shared" si="190"/>
        <v>55022.800000000047</v>
      </c>
      <c r="U739" s="1">
        <v>550228</v>
      </c>
      <c r="V739" s="1">
        <f t="shared" si="185"/>
        <v>249896.12</v>
      </c>
      <c r="W739" s="1">
        <v>4.4000000000000004</v>
      </c>
    </row>
    <row r="740" spans="1:23" x14ac:dyDescent="0.25">
      <c r="A740" s="1" t="s">
        <v>179</v>
      </c>
      <c r="B740" s="1" t="s">
        <v>32</v>
      </c>
      <c r="C740" s="1" t="s">
        <v>408</v>
      </c>
      <c r="D740" s="1" t="s">
        <v>74</v>
      </c>
      <c r="E740" s="1" t="s">
        <v>56</v>
      </c>
      <c r="F740" s="1" t="s">
        <v>17</v>
      </c>
      <c r="G740" s="1" t="s">
        <v>72</v>
      </c>
      <c r="H740" s="1" t="s">
        <v>399</v>
      </c>
      <c r="I740" s="1" t="s">
        <v>397</v>
      </c>
      <c r="J740" s="1" t="s">
        <v>46</v>
      </c>
      <c r="K740" s="1">
        <v>14</v>
      </c>
      <c r="L740" s="1">
        <v>30352</v>
      </c>
      <c r="M740" s="2">
        <f t="shared" si="186"/>
        <v>424928</v>
      </c>
      <c r="N740" s="1">
        <v>76487.039999999994</v>
      </c>
      <c r="O740" s="1">
        <f t="shared" si="187"/>
        <v>501415.04</v>
      </c>
      <c r="P740" s="1">
        <v>7725</v>
      </c>
      <c r="Q740" s="1">
        <f t="shared" si="188"/>
        <v>493690.04</v>
      </c>
      <c r="R740" s="1">
        <f>0.62*U740</f>
        <v>206991.96</v>
      </c>
      <c r="S740" s="1">
        <f>U740*0.2</f>
        <v>66771.600000000006</v>
      </c>
      <c r="T740" s="1">
        <f t="shared" si="190"/>
        <v>60094.440000000031</v>
      </c>
      <c r="U740" s="1">
        <v>333858</v>
      </c>
      <c r="V740" s="1">
        <f t="shared" si="185"/>
        <v>159832.03999999998</v>
      </c>
      <c r="W740" s="1">
        <v>3.8</v>
      </c>
    </row>
    <row r="741" spans="1:23" x14ac:dyDescent="0.25">
      <c r="A741" s="1" t="s">
        <v>258</v>
      </c>
      <c r="B741" s="1" t="s">
        <v>69</v>
      </c>
      <c r="C741" s="1" t="s">
        <v>408</v>
      </c>
      <c r="D741" s="1" t="s">
        <v>74</v>
      </c>
      <c r="E741" s="1" t="s">
        <v>56</v>
      </c>
      <c r="F741" s="1" t="s">
        <v>59</v>
      </c>
      <c r="G741" s="1" t="s">
        <v>121</v>
      </c>
      <c r="H741" s="1" t="s">
        <v>398</v>
      </c>
      <c r="I741" s="1" t="s">
        <v>397</v>
      </c>
      <c r="J741" s="1" t="s">
        <v>26</v>
      </c>
      <c r="K741" s="1">
        <v>95</v>
      </c>
      <c r="L741" s="1">
        <v>10057</v>
      </c>
      <c r="M741" s="2">
        <f t="shared" si="186"/>
        <v>955415</v>
      </c>
      <c r="N741" s="1">
        <v>163375.96</v>
      </c>
      <c r="O741" s="1">
        <f t="shared" si="187"/>
        <v>1118790.96</v>
      </c>
      <c r="P741" s="1">
        <v>7363</v>
      </c>
      <c r="Q741" s="1">
        <f t="shared" si="188"/>
        <v>1111427.96</v>
      </c>
      <c r="R741" s="1">
        <f>0.7*U741</f>
        <v>545832</v>
      </c>
      <c r="S741" s="1">
        <f t="shared" si="193"/>
        <v>155952</v>
      </c>
      <c r="T741" s="1">
        <f t="shared" si="190"/>
        <v>77976</v>
      </c>
      <c r="U741" s="1">
        <v>779760</v>
      </c>
      <c r="V741" s="1">
        <f t="shared" si="185"/>
        <v>331667.95999999996</v>
      </c>
      <c r="W741" s="1">
        <v>4.7</v>
      </c>
    </row>
    <row r="742" spans="1:23" x14ac:dyDescent="0.25">
      <c r="A742" s="1" t="s">
        <v>257</v>
      </c>
      <c r="B742" s="1" t="s">
        <v>28</v>
      </c>
      <c r="C742" s="1" t="s">
        <v>408</v>
      </c>
      <c r="D742" s="1" t="s">
        <v>15</v>
      </c>
      <c r="E742" s="1" t="s">
        <v>16</v>
      </c>
      <c r="F742" s="1" t="s">
        <v>29</v>
      </c>
      <c r="G742" s="1" t="s">
        <v>97</v>
      </c>
      <c r="H742" s="1" t="s">
        <v>399</v>
      </c>
      <c r="I742" s="1" t="s">
        <v>396</v>
      </c>
      <c r="J742" s="1" t="s">
        <v>46</v>
      </c>
      <c r="K742" s="1">
        <v>11</v>
      </c>
      <c r="L742" s="1">
        <v>12189</v>
      </c>
      <c r="M742" s="2">
        <f t="shared" si="186"/>
        <v>134079</v>
      </c>
      <c r="N742" s="1">
        <v>24134.22</v>
      </c>
      <c r="O742" s="1">
        <f t="shared" si="187"/>
        <v>158213.22</v>
      </c>
      <c r="P742" s="1">
        <v>8053</v>
      </c>
      <c r="Q742" s="1">
        <f t="shared" si="188"/>
        <v>150160.22</v>
      </c>
      <c r="R742" s="1">
        <v>55209</v>
      </c>
      <c r="S742" s="1">
        <f>U742*0.1</f>
        <v>11041.800000000001</v>
      </c>
      <c r="T742" s="1">
        <f t="shared" si="190"/>
        <v>44167.199999999997</v>
      </c>
      <c r="U742" s="1">
        <v>110418</v>
      </c>
      <c r="V742" s="1">
        <f t="shared" si="185"/>
        <v>39742.22</v>
      </c>
      <c r="W742" s="1">
        <v>4</v>
      </c>
    </row>
    <row r="743" spans="1:23" x14ac:dyDescent="0.25">
      <c r="A743" s="1" t="s">
        <v>218</v>
      </c>
      <c r="B743" s="1" t="s">
        <v>41</v>
      </c>
      <c r="C743" s="1" t="s">
        <v>408</v>
      </c>
      <c r="D743" s="1" t="s">
        <v>22</v>
      </c>
      <c r="E743" s="1" t="s">
        <v>23</v>
      </c>
      <c r="F743" s="1" t="s">
        <v>24</v>
      </c>
      <c r="G743" s="1" t="s">
        <v>143</v>
      </c>
      <c r="H743" s="1" t="s">
        <v>398</v>
      </c>
      <c r="I743" s="1" t="s">
        <v>395</v>
      </c>
      <c r="J743" s="1" t="s">
        <v>46</v>
      </c>
      <c r="K743" s="1">
        <v>10</v>
      </c>
      <c r="L743" s="1">
        <v>13242</v>
      </c>
      <c r="M743" s="2">
        <f t="shared" si="186"/>
        <v>132420</v>
      </c>
      <c r="N743" s="1">
        <v>23835.599999999999</v>
      </c>
      <c r="O743" s="1">
        <f t="shared" si="187"/>
        <v>156255.6</v>
      </c>
      <c r="P743" s="1">
        <v>9471</v>
      </c>
      <c r="Q743" s="1">
        <f t="shared" si="188"/>
        <v>146784.6</v>
      </c>
      <c r="R743" s="1">
        <v>43930</v>
      </c>
      <c r="S743" s="1">
        <f t="shared" si="193"/>
        <v>17572</v>
      </c>
      <c r="T743" s="1">
        <f t="shared" si="190"/>
        <v>26358</v>
      </c>
      <c r="U743" s="1">
        <v>87860</v>
      </c>
      <c r="V743" s="1">
        <f t="shared" si="185"/>
        <v>58924.600000000006</v>
      </c>
      <c r="W743" s="1">
        <v>3.7</v>
      </c>
    </row>
    <row r="744" spans="1:23" x14ac:dyDescent="0.25">
      <c r="A744" s="1" t="s">
        <v>301</v>
      </c>
      <c r="B744" s="1" t="s">
        <v>32</v>
      </c>
      <c r="C744" s="1" t="s">
        <v>408</v>
      </c>
      <c r="D744" s="1" t="s">
        <v>62</v>
      </c>
      <c r="E744" s="1" t="s">
        <v>43</v>
      </c>
      <c r="F744" s="1" t="s">
        <v>29</v>
      </c>
      <c r="G744" s="1" t="s">
        <v>53</v>
      </c>
      <c r="H744" s="1" t="s">
        <v>398</v>
      </c>
      <c r="I744" s="1" t="s">
        <v>19</v>
      </c>
      <c r="J744" s="1" t="s">
        <v>26</v>
      </c>
      <c r="K744" s="1">
        <v>114</v>
      </c>
      <c r="L744" s="1">
        <v>5272</v>
      </c>
      <c r="M744" s="2">
        <f t="shared" si="186"/>
        <v>601008</v>
      </c>
      <c r="N744" s="1">
        <v>95199.67</v>
      </c>
      <c r="O744" s="1">
        <f t="shared" si="187"/>
        <v>696207.67</v>
      </c>
      <c r="P744" s="1">
        <v>6549</v>
      </c>
      <c r="Q744" s="1">
        <f t="shared" si="188"/>
        <v>689658.67</v>
      </c>
      <c r="R744" s="1">
        <v>119728.5</v>
      </c>
      <c r="S744" s="1">
        <f>U744*0.1</f>
        <v>47891.4</v>
      </c>
      <c r="T744" s="1">
        <f t="shared" si="190"/>
        <v>311294.09999999998</v>
      </c>
      <c r="U744" s="1">
        <v>478914</v>
      </c>
      <c r="V744" s="1">
        <f t="shared" si="185"/>
        <v>210744.67000000004</v>
      </c>
      <c r="W744" s="1">
        <v>4.2</v>
      </c>
    </row>
    <row r="745" spans="1:23" x14ac:dyDescent="0.25">
      <c r="A745" s="1" t="s">
        <v>364</v>
      </c>
      <c r="B745" s="1" t="s">
        <v>14</v>
      </c>
      <c r="C745" s="1" t="s">
        <v>408</v>
      </c>
      <c r="D745" s="1" t="s">
        <v>15</v>
      </c>
      <c r="E745" s="1" t="s">
        <v>16</v>
      </c>
      <c r="F745" s="1" t="s">
        <v>17</v>
      </c>
      <c r="G745" s="1" t="s">
        <v>72</v>
      </c>
      <c r="H745" s="1" t="s">
        <v>399</v>
      </c>
      <c r="I745" s="1" t="s">
        <v>396</v>
      </c>
      <c r="J745" s="1" t="s">
        <v>46</v>
      </c>
      <c r="K745" s="1">
        <v>175</v>
      </c>
      <c r="L745" s="1">
        <v>31616</v>
      </c>
      <c r="M745" s="2">
        <f t="shared" si="186"/>
        <v>5532800</v>
      </c>
      <c r="N745" s="1">
        <v>846518.4</v>
      </c>
      <c r="O745" s="1">
        <f t="shared" si="187"/>
        <v>6379318.4000000004</v>
      </c>
      <c r="P745" s="1">
        <v>5613</v>
      </c>
      <c r="Q745" s="1">
        <f t="shared" si="188"/>
        <v>6373705.4000000004</v>
      </c>
      <c r="R745" s="1">
        <f>0.62*U745</f>
        <v>2296945</v>
      </c>
      <c r="S745" s="1">
        <f>U745*0.2</f>
        <v>740950</v>
      </c>
      <c r="T745" s="1">
        <f t="shared" si="190"/>
        <v>666855</v>
      </c>
      <c r="U745" s="1">
        <v>3704750</v>
      </c>
      <c r="V745" s="1">
        <f t="shared" si="185"/>
        <v>2668955.4000000004</v>
      </c>
      <c r="W745" s="1">
        <v>4</v>
      </c>
    </row>
    <row r="746" spans="1:23" x14ac:dyDescent="0.25">
      <c r="A746" s="1" t="s">
        <v>384</v>
      </c>
      <c r="B746" s="1" t="s">
        <v>32</v>
      </c>
      <c r="C746" s="1" t="s">
        <v>408</v>
      </c>
      <c r="D746" s="1" t="s">
        <v>52</v>
      </c>
      <c r="E746" s="1" t="s">
        <v>23</v>
      </c>
      <c r="F746" s="1" t="s">
        <v>59</v>
      </c>
      <c r="G746" s="1" t="s">
        <v>85</v>
      </c>
      <c r="H746" s="1" t="s">
        <v>399</v>
      </c>
      <c r="I746" s="1" t="s">
        <v>39</v>
      </c>
      <c r="J746" s="1" t="s">
        <v>26</v>
      </c>
      <c r="K746" s="1">
        <v>38</v>
      </c>
      <c r="L746" s="1">
        <v>19879</v>
      </c>
      <c r="M746" s="2">
        <f t="shared" si="186"/>
        <v>755402</v>
      </c>
      <c r="N746" s="1">
        <v>119655.67999999999</v>
      </c>
      <c r="O746" s="1">
        <f t="shared" si="187"/>
        <v>875057.67999999993</v>
      </c>
      <c r="P746" s="1">
        <v>6445</v>
      </c>
      <c r="Q746" s="1">
        <f t="shared" si="188"/>
        <v>868612.67999999993</v>
      </c>
      <c r="R746" s="1">
        <f>0.7*U746</f>
        <v>397616.8</v>
      </c>
      <c r="S746" s="1">
        <f t="shared" si="193"/>
        <v>113604.8</v>
      </c>
      <c r="T746" s="1">
        <f t="shared" si="190"/>
        <v>56802.400000000023</v>
      </c>
      <c r="U746" s="1">
        <v>568024</v>
      </c>
      <c r="V746" s="1">
        <f t="shared" si="185"/>
        <v>300588.67999999993</v>
      </c>
      <c r="W746" s="1">
        <v>3.9</v>
      </c>
    </row>
    <row r="747" spans="1:23" x14ac:dyDescent="0.25">
      <c r="A747" s="1" t="s">
        <v>328</v>
      </c>
      <c r="B747" s="1" t="s">
        <v>69</v>
      </c>
      <c r="C747" s="1" t="s">
        <v>408</v>
      </c>
      <c r="D747" s="1" t="s">
        <v>78</v>
      </c>
      <c r="E747" s="1" t="s">
        <v>49</v>
      </c>
      <c r="F747" s="1" t="s">
        <v>24</v>
      </c>
      <c r="G747" s="1" t="s">
        <v>119</v>
      </c>
      <c r="H747" s="1" t="s">
        <v>398</v>
      </c>
      <c r="I747" s="1" t="s">
        <v>396</v>
      </c>
      <c r="J747" s="1" t="s">
        <v>26</v>
      </c>
      <c r="K747" s="1">
        <v>125</v>
      </c>
      <c r="L747" s="1">
        <v>24236</v>
      </c>
      <c r="M747" s="2">
        <f t="shared" si="186"/>
        <v>3029500</v>
      </c>
      <c r="N747" s="1">
        <v>518044.5</v>
      </c>
      <c r="O747" s="1">
        <f t="shared" si="187"/>
        <v>3547544.5</v>
      </c>
      <c r="P747" s="1">
        <v>5882</v>
      </c>
      <c r="Q747" s="1">
        <f t="shared" si="188"/>
        <v>3541662.5</v>
      </c>
      <c r="R747" s="1">
        <v>1634625</v>
      </c>
      <c r="S747" s="1">
        <f t="shared" si="193"/>
        <v>435900</v>
      </c>
      <c r="T747" s="1">
        <f t="shared" si="190"/>
        <v>108975</v>
      </c>
      <c r="U747" s="1">
        <v>2179500</v>
      </c>
      <c r="V747" s="1">
        <f t="shared" si="185"/>
        <v>1362162.5</v>
      </c>
      <c r="W747" s="1">
        <v>3.8</v>
      </c>
    </row>
    <row r="748" spans="1:23" x14ac:dyDescent="0.25">
      <c r="A748" s="1" t="s">
        <v>348</v>
      </c>
      <c r="B748" s="1" t="s">
        <v>32</v>
      </c>
      <c r="C748" s="1" t="s">
        <v>408</v>
      </c>
      <c r="D748" s="1" t="s">
        <v>52</v>
      </c>
      <c r="E748" s="1" t="s">
        <v>23</v>
      </c>
      <c r="F748" s="1" t="s">
        <v>29</v>
      </c>
      <c r="G748" s="1" t="s">
        <v>91</v>
      </c>
      <c r="H748" s="1" t="s">
        <v>399</v>
      </c>
      <c r="I748" s="1" t="s">
        <v>19</v>
      </c>
      <c r="J748" s="1" t="s">
        <v>26</v>
      </c>
      <c r="K748" s="1">
        <v>41</v>
      </c>
      <c r="L748" s="1">
        <v>5708</v>
      </c>
      <c r="M748" s="2">
        <f t="shared" si="186"/>
        <v>234028</v>
      </c>
      <c r="N748" s="1">
        <v>40018.79</v>
      </c>
      <c r="O748" s="1">
        <f t="shared" si="187"/>
        <v>274046.78999999998</v>
      </c>
      <c r="P748" s="1">
        <v>9997</v>
      </c>
      <c r="Q748" s="1">
        <f t="shared" si="188"/>
        <v>264049.78999999998</v>
      </c>
      <c r="R748" s="1">
        <v>127551</v>
      </c>
      <c r="S748" s="1">
        <f>U748*0.1</f>
        <v>17006.8</v>
      </c>
      <c r="T748" s="1">
        <f t="shared" si="190"/>
        <v>25510.200000000012</v>
      </c>
      <c r="U748" s="1">
        <v>170068</v>
      </c>
      <c r="V748" s="1">
        <f t="shared" si="185"/>
        <v>93981.789999999979</v>
      </c>
      <c r="W748" s="1">
        <v>3.9</v>
      </c>
    </row>
    <row r="749" spans="1:23" x14ac:dyDescent="0.25">
      <c r="A749" s="1" t="s">
        <v>283</v>
      </c>
      <c r="B749" s="1" t="s">
        <v>21</v>
      </c>
      <c r="C749" s="1" t="s">
        <v>408</v>
      </c>
      <c r="D749" s="1" t="s">
        <v>62</v>
      </c>
      <c r="E749" s="1" t="s">
        <v>43</v>
      </c>
      <c r="F749" s="1" t="s">
        <v>24</v>
      </c>
      <c r="G749" s="1" t="s">
        <v>119</v>
      </c>
      <c r="H749" s="1" t="s">
        <v>399</v>
      </c>
      <c r="I749" s="1" t="s">
        <v>395</v>
      </c>
      <c r="J749" s="1" t="s">
        <v>46</v>
      </c>
      <c r="K749" s="1">
        <v>15</v>
      </c>
      <c r="L749" s="1">
        <v>16275</v>
      </c>
      <c r="M749" s="2">
        <f t="shared" si="186"/>
        <v>244125</v>
      </c>
      <c r="N749" s="1">
        <v>37351.120000000003</v>
      </c>
      <c r="O749" s="1">
        <f t="shared" si="187"/>
        <v>281476.12</v>
      </c>
      <c r="P749" s="1">
        <v>6308</v>
      </c>
      <c r="Q749" s="1">
        <f t="shared" si="188"/>
        <v>275168.12</v>
      </c>
      <c r="R749" s="1">
        <v>40856.25</v>
      </c>
      <c r="S749" s="1">
        <f t="shared" si="193"/>
        <v>32685</v>
      </c>
      <c r="T749" s="1">
        <f t="shared" si="190"/>
        <v>89883.75</v>
      </c>
      <c r="U749" s="1">
        <v>163425</v>
      </c>
      <c r="V749" s="1">
        <f t="shared" si="185"/>
        <v>111743.12</v>
      </c>
      <c r="W749" s="1">
        <v>4.8</v>
      </c>
    </row>
    <row r="750" spans="1:23" x14ac:dyDescent="0.25">
      <c r="A750" s="1" t="s">
        <v>385</v>
      </c>
      <c r="B750" s="1" t="s">
        <v>77</v>
      </c>
      <c r="C750" s="1" t="s">
        <v>408</v>
      </c>
      <c r="D750" s="1" t="s">
        <v>48</v>
      </c>
      <c r="E750" s="1" t="s">
        <v>49</v>
      </c>
      <c r="F750" s="1" t="s">
        <v>24</v>
      </c>
      <c r="G750" s="1" t="s">
        <v>44</v>
      </c>
      <c r="H750" s="1" t="s">
        <v>398</v>
      </c>
      <c r="I750" s="1" t="s">
        <v>397</v>
      </c>
      <c r="J750" s="1" t="s">
        <v>46</v>
      </c>
      <c r="K750" s="1">
        <v>92</v>
      </c>
      <c r="L750" s="1">
        <v>29082</v>
      </c>
      <c r="M750" s="2">
        <f t="shared" si="186"/>
        <v>2675544</v>
      </c>
      <c r="N750" s="1">
        <v>457518.02</v>
      </c>
      <c r="O750" s="1">
        <f t="shared" si="187"/>
        <v>3133062.02</v>
      </c>
      <c r="P750" s="1">
        <v>9554</v>
      </c>
      <c r="Q750" s="1">
        <f t="shared" si="188"/>
        <v>3123508.02</v>
      </c>
      <c r="R750" s="1">
        <v>499813</v>
      </c>
      <c r="S750" s="1">
        <f t="shared" si="193"/>
        <v>399850.4</v>
      </c>
      <c r="T750" s="1">
        <f t="shared" si="190"/>
        <v>1099588.6000000001</v>
      </c>
      <c r="U750" s="1">
        <v>1999252</v>
      </c>
      <c r="V750" s="1">
        <f t="shared" si="185"/>
        <v>1124256.02</v>
      </c>
      <c r="W750" s="1">
        <v>4.2</v>
      </c>
    </row>
    <row r="751" spans="1:23" x14ac:dyDescent="0.25">
      <c r="A751" s="1" t="s">
        <v>156</v>
      </c>
      <c r="B751" s="1" t="s">
        <v>21</v>
      </c>
      <c r="C751" s="1" t="s">
        <v>408</v>
      </c>
      <c r="D751" s="1" t="s">
        <v>15</v>
      </c>
      <c r="E751" s="1" t="s">
        <v>16</v>
      </c>
      <c r="F751" s="1" t="s">
        <v>24</v>
      </c>
      <c r="G751" s="1" t="s">
        <v>44</v>
      </c>
      <c r="H751" s="1" t="s">
        <v>399</v>
      </c>
      <c r="I751" s="1" t="s">
        <v>39</v>
      </c>
      <c r="J751" s="1" t="s">
        <v>46</v>
      </c>
      <c r="K751" s="1">
        <v>77</v>
      </c>
      <c r="L751" s="1">
        <v>3142</v>
      </c>
      <c r="M751" s="2">
        <f t="shared" si="186"/>
        <v>241934</v>
      </c>
      <c r="N751" s="1">
        <v>41370.71</v>
      </c>
      <c r="O751" s="1">
        <f t="shared" si="187"/>
        <v>283304.71000000002</v>
      </c>
      <c r="P751" s="1">
        <v>5380</v>
      </c>
      <c r="Q751" s="1">
        <f t="shared" si="188"/>
        <v>277924.71000000002</v>
      </c>
      <c r="R751" s="1">
        <v>82313</v>
      </c>
      <c r="S751" s="1">
        <f t="shared" si="193"/>
        <v>32925.200000000004</v>
      </c>
      <c r="T751" s="1">
        <f t="shared" si="190"/>
        <v>49387.799999999988</v>
      </c>
      <c r="U751" s="1">
        <v>164626</v>
      </c>
      <c r="V751" s="1">
        <f t="shared" si="185"/>
        <v>113298.71000000002</v>
      </c>
      <c r="W751" s="1">
        <v>4.5999999999999996</v>
      </c>
    </row>
    <row r="752" spans="1:23" x14ac:dyDescent="0.25">
      <c r="A752" s="1" t="s">
        <v>386</v>
      </c>
      <c r="B752" s="1" t="s">
        <v>69</v>
      </c>
      <c r="C752" s="1" t="s">
        <v>408</v>
      </c>
      <c r="D752" s="1" t="s">
        <v>74</v>
      </c>
      <c r="E752" s="1" t="s">
        <v>56</v>
      </c>
      <c r="F752" s="1" t="s">
        <v>29</v>
      </c>
      <c r="G752" s="1" t="s">
        <v>53</v>
      </c>
      <c r="H752" s="1" t="s">
        <v>399</v>
      </c>
      <c r="I752" s="1" t="s">
        <v>19</v>
      </c>
      <c r="J752" s="1" t="s">
        <v>46</v>
      </c>
      <c r="K752" s="1">
        <v>50</v>
      </c>
      <c r="L752" s="1">
        <v>31430</v>
      </c>
      <c r="M752" s="2">
        <f t="shared" si="186"/>
        <v>1571500</v>
      </c>
      <c r="N752" s="1">
        <v>248925.6</v>
      </c>
      <c r="O752" s="1">
        <f t="shared" si="187"/>
        <v>1820425.6</v>
      </c>
      <c r="P752" s="1">
        <v>8240</v>
      </c>
      <c r="Q752" s="1">
        <f t="shared" si="188"/>
        <v>1812185.6</v>
      </c>
      <c r="R752" s="1">
        <v>311037.5</v>
      </c>
      <c r="S752" s="1">
        <f t="shared" ref="S752:S756" si="197">U752*0.1</f>
        <v>124415</v>
      </c>
      <c r="T752" s="1">
        <f t="shared" si="190"/>
        <v>808697.5</v>
      </c>
      <c r="U752" s="1">
        <v>1244150</v>
      </c>
      <c r="V752" s="1">
        <f t="shared" si="185"/>
        <v>568035.60000000009</v>
      </c>
      <c r="W752" s="1">
        <v>4.8</v>
      </c>
    </row>
    <row r="753" spans="1:23" x14ac:dyDescent="0.25">
      <c r="A753" s="1" t="s">
        <v>378</v>
      </c>
      <c r="B753" s="1" t="s">
        <v>21</v>
      </c>
      <c r="C753" s="1" t="s">
        <v>408</v>
      </c>
      <c r="D753" s="1" t="s">
        <v>55</v>
      </c>
      <c r="E753" s="1" t="s">
        <v>56</v>
      </c>
      <c r="F753" s="1" t="s">
        <v>29</v>
      </c>
      <c r="G753" s="1" t="s">
        <v>97</v>
      </c>
      <c r="H753" s="1" t="s">
        <v>398</v>
      </c>
      <c r="I753" s="1" t="s">
        <v>39</v>
      </c>
      <c r="J753" s="1" t="s">
        <v>46</v>
      </c>
      <c r="K753" s="1">
        <v>108</v>
      </c>
      <c r="L753" s="1">
        <v>15088</v>
      </c>
      <c r="M753" s="2">
        <f t="shared" si="186"/>
        <v>1629504</v>
      </c>
      <c r="N753" s="1">
        <v>258113.43</v>
      </c>
      <c r="O753" s="1">
        <f t="shared" si="187"/>
        <v>1887617.43</v>
      </c>
      <c r="P753" s="1">
        <v>8434</v>
      </c>
      <c r="Q753" s="1">
        <f t="shared" si="188"/>
        <v>1879183.43</v>
      </c>
      <c r="R753" s="1">
        <v>806436</v>
      </c>
      <c r="S753" s="1">
        <f t="shared" si="197"/>
        <v>107524.8</v>
      </c>
      <c r="T753" s="1">
        <f t="shared" si="190"/>
        <v>161287.19999999995</v>
      </c>
      <c r="U753" s="1">
        <v>1075248</v>
      </c>
      <c r="V753" s="1">
        <f t="shared" si="185"/>
        <v>803935.42999999993</v>
      </c>
      <c r="W753" s="1">
        <v>4.2</v>
      </c>
    </row>
    <row r="754" spans="1:23" x14ac:dyDescent="0.25">
      <c r="A754" s="1" t="s">
        <v>86</v>
      </c>
      <c r="B754" s="1" t="s">
        <v>77</v>
      </c>
      <c r="C754" s="1" t="s">
        <v>408</v>
      </c>
      <c r="D754" s="1" t="s">
        <v>15</v>
      </c>
      <c r="E754" s="1" t="s">
        <v>16</v>
      </c>
      <c r="F754" s="1" t="s">
        <v>29</v>
      </c>
      <c r="G754" s="1" t="s">
        <v>91</v>
      </c>
      <c r="H754" s="1" t="s">
        <v>399</v>
      </c>
      <c r="I754" s="1" t="s">
        <v>397</v>
      </c>
      <c r="J754" s="1" t="s">
        <v>46</v>
      </c>
      <c r="K754" s="1">
        <v>109</v>
      </c>
      <c r="L754" s="1">
        <v>13116</v>
      </c>
      <c r="M754" s="2">
        <f t="shared" si="186"/>
        <v>1429644</v>
      </c>
      <c r="N754" s="1">
        <v>226455.61</v>
      </c>
      <c r="O754" s="1">
        <f t="shared" si="187"/>
        <v>1656099.6099999999</v>
      </c>
      <c r="P754" s="1">
        <v>8973</v>
      </c>
      <c r="Q754" s="1">
        <f t="shared" si="188"/>
        <v>1647126.6099999999</v>
      </c>
      <c r="R754" s="1">
        <v>787170.75</v>
      </c>
      <c r="S754" s="1">
        <f t="shared" si="197"/>
        <v>104956.1</v>
      </c>
      <c r="T754" s="1">
        <f t="shared" si="190"/>
        <v>157434.15000000002</v>
      </c>
      <c r="U754" s="1">
        <v>1049561</v>
      </c>
      <c r="V754" s="1">
        <f t="shared" si="185"/>
        <v>597565.60999999987</v>
      </c>
      <c r="W754" s="1">
        <v>4.5</v>
      </c>
    </row>
    <row r="755" spans="1:23" x14ac:dyDescent="0.25">
      <c r="A755" s="1" t="s">
        <v>124</v>
      </c>
      <c r="B755" s="1" t="s">
        <v>34</v>
      </c>
      <c r="C755" s="1" t="s">
        <v>408</v>
      </c>
      <c r="D755" s="1" t="s">
        <v>15</v>
      </c>
      <c r="E755" s="1" t="s">
        <v>16</v>
      </c>
      <c r="F755" s="1" t="s">
        <v>29</v>
      </c>
      <c r="G755" s="1" t="s">
        <v>97</v>
      </c>
      <c r="H755" s="1" t="s">
        <v>398</v>
      </c>
      <c r="I755" s="1" t="s">
        <v>397</v>
      </c>
      <c r="J755" s="1" t="s">
        <v>26</v>
      </c>
      <c r="K755" s="1">
        <v>135</v>
      </c>
      <c r="L755" s="1">
        <v>28509</v>
      </c>
      <c r="M755" s="2">
        <f t="shared" si="186"/>
        <v>3848715</v>
      </c>
      <c r="N755" s="1">
        <v>609636.46</v>
      </c>
      <c r="O755" s="1">
        <f t="shared" si="187"/>
        <v>4458351.46</v>
      </c>
      <c r="P755" s="1">
        <v>9237</v>
      </c>
      <c r="Q755" s="1">
        <f t="shared" si="188"/>
        <v>4449114.46</v>
      </c>
      <c r="R755" s="1">
        <v>650970</v>
      </c>
      <c r="S755" s="1">
        <f t="shared" si="197"/>
        <v>260388</v>
      </c>
      <c r="T755" s="1">
        <f t="shared" si="190"/>
        <v>1692522</v>
      </c>
      <c r="U755" s="1">
        <v>2603880</v>
      </c>
      <c r="V755" s="1">
        <f t="shared" si="185"/>
        <v>1845234.46</v>
      </c>
      <c r="W755" s="1">
        <v>4.7</v>
      </c>
    </row>
    <row r="756" spans="1:23" x14ac:dyDescent="0.25">
      <c r="A756" s="1" t="s">
        <v>27</v>
      </c>
      <c r="B756" s="1" t="s">
        <v>21</v>
      </c>
      <c r="C756" s="1" t="s">
        <v>408</v>
      </c>
      <c r="D756" s="1" t="s">
        <v>78</v>
      </c>
      <c r="E756" s="1" t="s">
        <v>49</v>
      </c>
      <c r="F756" s="1" t="s">
        <v>29</v>
      </c>
      <c r="G756" s="1" t="s">
        <v>53</v>
      </c>
      <c r="H756" s="1" t="s">
        <v>398</v>
      </c>
      <c r="I756" s="1" t="s">
        <v>19</v>
      </c>
      <c r="J756" s="1" t="s">
        <v>26</v>
      </c>
      <c r="K756" s="1">
        <v>157</v>
      </c>
      <c r="L756" s="1">
        <v>15723</v>
      </c>
      <c r="M756" s="2">
        <f t="shared" si="186"/>
        <v>2468511</v>
      </c>
      <c r="N756" s="1">
        <v>391012.14</v>
      </c>
      <c r="O756" s="1">
        <f t="shared" si="187"/>
        <v>2859523.14</v>
      </c>
      <c r="P756" s="1">
        <v>8774</v>
      </c>
      <c r="Q756" s="1">
        <f t="shared" si="188"/>
        <v>2850749.14</v>
      </c>
      <c r="R756" s="1">
        <v>1253213.25</v>
      </c>
      <c r="S756" s="1">
        <f t="shared" si="197"/>
        <v>167095.1</v>
      </c>
      <c r="T756" s="1">
        <f t="shared" si="190"/>
        <v>250642.64999999991</v>
      </c>
      <c r="U756" s="1">
        <v>1670951</v>
      </c>
      <c r="V756" s="1">
        <f t="shared" si="185"/>
        <v>1179798.1400000001</v>
      </c>
      <c r="W756" s="1">
        <v>4</v>
      </c>
    </row>
    <row r="757" spans="1:23" x14ac:dyDescent="0.25">
      <c r="A757" s="1" t="s">
        <v>127</v>
      </c>
      <c r="B757" s="1" t="s">
        <v>34</v>
      </c>
      <c r="C757" s="1" t="s">
        <v>408</v>
      </c>
      <c r="D757" s="1" t="s">
        <v>74</v>
      </c>
      <c r="E757" s="1" t="s">
        <v>56</v>
      </c>
      <c r="F757" s="1" t="s">
        <v>24</v>
      </c>
      <c r="G757" s="1" t="s">
        <v>143</v>
      </c>
      <c r="H757" s="1" t="s">
        <v>399</v>
      </c>
      <c r="I757" s="1" t="s">
        <v>397</v>
      </c>
      <c r="J757" s="1" t="s">
        <v>26</v>
      </c>
      <c r="K757" s="1">
        <v>181</v>
      </c>
      <c r="L757" s="1">
        <v>39351</v>
      </c>
      <c r="M757" s="2">
        <f t="shared" si="186"/>
        <v>7122531</v>
      </c>
      <c r="N757" s="1">
        <v>1282055.58</v>
      </c>
      <c r="O757" s="1">
        <f t="shared" si="187"/>
        <v>8404586.5800000001</v>
      </c>
      <c r="P757" s="1">
        <v>8835</v>
      </c>
      <c r="Q757" s="1">
        <f t="shared" si="188"/>
        <v>8395751.5800000001</v>
      </c>
      <c r="R757" s="1">
        <v>1114326.5</v>
      </c>
      <c r="S757" s="1">
        <f t="shared" si="193"/>
        <v>891461.20000000007</v>
      </c>
      <c r="T757" s="1">
        <f t="shared" si="190"/>
        <v>2451518.2999999998</v>
      </c>
      <c r="U757" s="1">
        <v>4457306</v>
      </c>
      <c r="V757" s="1">
        <f t="shared" si="185"/>
        <v>3938445.58</v>
      </c>
      <c r="W757" s="1">
        <v>4.9000000000000004</v>
      </c>
    </row>
    <row r="758" spans="1:23" x14ac:dyDescent="0.25">
      <c r="A758" s="1" t="s">
        <v>276</v>
      </c>
      <c r="B758" s="1" t="s">
        <v>77</v>
      </c>
      <c r="C758" s="1" t="s">
        <v>408</v>
      </c>
      <c r="D758" s="1" t="s">
        <v>22</v>
      </c>
      <c r="E758" s="1" t="s">
        <v>23</v>
      </c>
      <c r="F758" s="1" t="s">
        <v>24</v>
      </c>
      <c r="G758" s="1" t="s">
        <v>44</v>
      </c>
      <c r="H758" s="1" t="s">
        <v>398</v>
      </c>
      <c r="I758" s="1" t="s">
        <v>395</v>
      </c>
      <c r="J758" s="1" t="s">
        <v>46</v>
      </c>
      <c r="K758" s="1">
        <v>77</v>
      </c>
      <c r="L758" s="1">
        <v>9287</v>
      </c>
      <c r="M758" s="2">
        <f t="shared" si="186"/>
        <v>715099</v>
      </c>
      <c r="N758" s="1">
        <v>128717.82</v>
      </c>
      <c r="O758" s="1">
        <f t="shared" si="187"/>
        <v>843816.82000000007</v>
      </c>
      <c r="P758" s="1">
        <v>5537</v>
      </c>
      <c r="Q758" s="1">
        <f t="shared" si="188"/>
        <v>838279.82000000007</v>
      </c>
      <c r="R758" s="1">
        <v>249595.5</v>
      </c>
      <c r="S758" s="1">
        <f t="shared" si="193"/>
        <v>99838.200000000012</v>
      </c>
      <c r="T758" s="1">
        <f t="shared" si="190"/>
        <v>149757.29999999999</v>
      </c>
      <c r="U758" s="1">
        <v>499191</v>
      </c>
      <c r="V758" s="1">
        <f t="shared" si="185"/>
        <v>339088.82000000007</v>
      </c>
      <c r="W758" s="1">
        <v>4</v>
      </c>
    </row>
    <row r="759" spans="1:23" x14ac:dyDescent="0.25">
      <c r="A759" s="1" t="s">
        <v>295</v>
      </c>
      <c r="B759" s="1" t="s">
        <v>32</v>
      </c>
      <c r="C759" s="1" t="s">
        <v>408</v>
      </c>
      <c r="D759" s="1" t="s">
        <v>55</v>
      </c>
      <c r="E759" s="1" t="s">
        <v>56</v>
      </c>
      <c r="F759" s="1" t="s">
        <v>29</v>
      </c>
      <c r="G759" s="1" t="s">
        <v>53</v>
      </c>
      <c r="H759" s="1" t="s">
        <v>399</v>
      </c>
      <c r="I759" s="1" t="s">
        <v>395</v>
      </c>
      <c r="J759" s="1" t="s">
        <v>26</v>
      </c>
      <c r="K759" s="1">
        <v>167</v>
      </c>
      <c r="L759" s="1">
        <v>26460</v>
      </c>
      <c r="M759" s="2">
        <f t="shared" si="186"/>
        <v>4418820</v>
      </c>
      <c r="N759" s="1">
        <v>731756.59</v>
      </c>
      <c r="O759" s="1">
        <f t="shared" si="187"/>
        <v>5150576.59</v>
      </c>
      <c r="P759" s="1">
        <v>9671</v>
      </c>
      <c r="Q759" s="1">
        <f t="shared" si="188"/>
        <v>5140905.59</v>
      </c>
      <c r="R759" s="1">
        <v>1467930</v>
      </c>
      <c r="S759" s="1">
        <f>U759*0.1</f>
        <v>293586</v>
      </c>
      <c r="T759" s="1">
        <f t="shared" si="190"/>
        <v>1174344</v>
      </c>
      <c r="U759" s="1">
        <v>2935860</v>
      </c>
      <c r="V759" s="1">
        <f t="shared" si="185"/>
        <v>2205045.59</v>
      </c>
      <c r="W759" s="1">
        <v>4.5</v>
      </c>
    </row>
    <row r="760" spans="1:23" x14ac:dyDescent="0.25">
      <c r="A760" s="1" t="s">
        <v>65</v>
      </c>
      <c r="B760" s="1" t="s">
        <v>41</v>
      </c>
      <c r="C760" s="1" t="s">
        <v>408</v>
      </c>
      <c r="D760" s="1" t="s">
        <v>55</v>
      </c>
      <c r="E760" s="1" t="s">
        <v>56</v>
      </c>
      <c r="F760" s="1" t="s">
        <v>59</v>
      </c>
      <c r="G760" s="1" t="s">
        <v>121</v>
      </c>
      <c r="H760" s="1" t="s">
        <v>399</v>
      </c>
      <c r="I760" s="1" t="s">
        <v>19</v>
      </c>
      <c r="J760" s="1" t="s">
        <v>26</v>
      </c>
      <c r="K760" s="1">
        <v>31</v>
      </c>
      <c r="L760" s="1">
        <v>5001</v>
      </c>
      <c r="M760" s="2">
        <f t="shared" si="186"/>
        <v>155031</v>
      </c>
      <c r="N760" s="1">
        <v>23719.74</v>
      </c>
      <c r="O760" s="1">
        <f t="shared" si="187"/>
        <v>178750.74</v>
      </c>
      <c r="P760" s="1">
        <v>7210</v>
      </c>
      <c r="Q760" s="1">
        <f t="shared" si="188"/>
        <v>171540.74</v>
      </c>
      <c r="R760" s="1">
        <f>0.7*U760</f>
        <v>87017</v>
      </c>
      <c r="S760" s="1">
        <f t="shared" si="193"/>
        <v>24862</v>
      </c>
      <c r="T760" s="1">
        <f t="shared" si="190"/>
        <v>12431</v>
      </c>
      <c r="U760" s="1">
        <v>124310</v>
      </c>
      <c r="V760" s="1">
        <f t="shared" si="185"/>
        <v>47230.739999999991</v>
      </c>
      <c r="W760" s="1">
        <v>4.9000000000000004</v>
      </c>
    </row>
    <row r="761" spans="1:23" x14ac:dyDescent="0.25">
      <c r="A761" s="1" t="s">
        <v>166</v>
      </c>
      <c r="B761" s="1" t="s">
        <v>28</v>
      </c>
      <c r="C761" s="1" t="s">
        <v>408</v>
      </c>
      <c r="D761" s="1" t="s">
        <v>15</v>
      </c>
      <c r="E761" s="1" t="s">
        <v>16</v>
      </c>
      <c r="F761" s="1" t="s">
        <v>17</v>
      </c>
      <c r="G761" s="1" t="s">
        <v>38</v>
      </c>
      <c r="H761" s="1" t="s">
        <v>398</v>
      </c>
      <c r="I761" s="1" t="s">
        <v>397</v>
      </c>
      <c r="J761" s="1" t="s">
        <v>46</v>
      </c>
      <c r="K761" s="1">
        <v>189</v>
      </c>
      <c r="L761" s="1">
        <v>15951</v>
      </c>
      <c r="M761" s="2">
        <f t="shared" si="186"/>
        <v>3014739</v>
      </c>
      <c r="N761" s="1">
        <v>499240.78</v>
      </c>
      <c r="O761" s="1">
        <f t="shared" si="187"/>
        <v>3513979.7800000003</v>
      </c>
      <c r="P761" s="1">
        <v>8657</v>
      </c>
      <c r="Q761" s="1">
        <f t="shared" si="188"/>
        <v>3505322.7800000003</v>
      </c>
      <c r="R761" s="1">
        <f>0.62*U761</f>
        <v>1349210.52</v>
      </c>
      <c r="S761" s="1">
        <f>U761*0.2</f>
        <v>435229.2</v>
      </c>
      <c r="T761" s="1">
        <f t="shared" si="190"/>
        <v>391706.28</v>
      </c>
      <c r="U761" s="1">
        <v>2176146</v>
      </c>
      <c r="V761" s="1">
        <f t="shared" si="185"/>
        <v>1329176.7800000003</v>
      </c>
      <c r="W761" s="1">
        <v>4.9000000000000004</v>
      </c>
    </row>
    <row r="762" spans="1:23" x14ac:dyDescent="0.25">
      <c r="A762" s="1" t="s">
        <v>248</v>
      </c>
      <c r="B762" s="1" t="s">
        <v>34</v>
      </c>
      <c r="C762" s="1" t="s">
        <v>408</v>
      </c>
      <c r="D762" s="1" t="s">
        <v>42</v>
      </c>
      <c r="E762" s="1" t="s">
        <v>43</v>
      </c>
      <c r="F762" s="1" t="s">
        <v>24</v>
      </c>
      <c r="G762" s="1" t="s">
        <v>119</v>
      </c>
      <c r="H762" s="1" t="s">
        <v>399</v>
      </c>
      <c r="I762" s="1" t="s">
        <v>19</v>
      </c>
      <c r="J762" s="1" t="s">
        <v>46</v>
      </c>
      <c r="K762" s="1">
        <v>191</v>
      </c>
      <c r="L762" s="1">
        <v>8951</v>
      </c>
      <c r="M762" s="2">
        <f t="shared" si="186"/>
        <v>1709641</v>
      </c>
      <c r="N762" s="1">
        <v>292348.61</v>
      </c>
      <c r="O762" s="1">
        <f t="shared" si="187"/>
        <v>2001989.6099999999</v>
      </c>
      <c r="P762" s="1">
        <v>8739</v>
      </c>
      <c r="Q762" s="1">
        <f t="shared" si="188"/>
        <v>1993250.6099999999</v>
      </c>
      <c r="R762" s="1">
        <v>933417</v>
      </c>
      <c r="S762" s="1">
        <f t="shared" si="193"/>
        <v>248911.2</v>
      </c>
      <c r="T762" s="1">
        <f t="shared" si="190"/>
        <v>62227.800000000047</v>
      </c>
      <c r="U762" s="1">
        <v>1244556</v>
      </c>
      <c r="V762" s="1">
        <f t="shared" si="185"/>
        <v>748694.60999999987</v>
      </c>
      <c r="W762" s="1">
        <v>4.7</v>
      </c>
    </row>
    <row r="763" spans="1:23" x14ac:dyDescent="0.25">
      <c r="A763" s="1" t="s">
        <v>339</v>
      </c>
      <c r="B763" s="1" t="s">
        <v>69</v>
      </c>
      <c r="C763" s="1" t="s">
        <v>408</v>
      </c>
      <c r="D763" s="1" t="s">
        <v>42</v>
      </c>
      <c r="E763" s="1" t="s">
        <v>43</v>
      </c>
      <c r="F763" s="1" t="s">
        <v>17</v>
      </c>
      <c r="G763" s="1" t="s">
        <v>38</v>
      </c>
      <c r="H763" s="1" t="s">
        <v>399</v>
      </c>
      <c r="I763" s="1" t="s">
        <v>397</v>
      </c>
      <c r="J763" s="1" t="s">
        <v>46</v>
      </c>
      <c r="K763" s="1">
        <v>127</v>
      </c>
      <c r="L763" s="1">
        <v>2545</v>
      </c>
      <c r="M763" s="2">
        <f t="shared" si="186"/>
        <v>323215</v>
      </c>
      <c r="N763" s="1">
        <v>58178.7</v>
      </c>
      <c r="O763" s="1">
        <f t="shared" si="187"/>
        <v>381393.7</v>
      </c>
      <c r="P763" s="1">
        <v>7074</v>
      </c>
      <c r="Q763" s="1">
        <f t="shared" si="188"/>
        <v>374319.7</v>
      </c>
      <c r="R763" s="1">
        <f>0.62*U763</f>
        <v>137952.48000000001</v>
      </c>
      <c r="S763" s="1">
        <f>U763*0.2</f>
        <v>44500.800000000003</v>
      </c>
      <c r="T763" s="1">
        <f t="shared" si="190"/>
        <v>40050.720000000001</v>
      </c>
      <c r="U763" s="1">
        <v>222504</v>
      </c>
      <c r="V763" s="1">
        <f t="shared" si="185"/>
        <v>151815.70000000001</v>
      </c>
      <c r="W763" s="1">
        <v>4.5</v>
      </c>
    </row>
    <row r="764" spans="1:23" x14ac:dyDescent="0.25">
      <c r="A764" s="1" t="s">
        <v>368</v>
      </c>
      <c r="B764" s="1" t="s">
        <v>69</v>
      </c>
      <c r="C764" s="1" t="s">
        <v>408</v>
      </c>
      <c r="D764" s="1" t="s">
        <v>62</v>
      </c>
      <c r="E764" s="1" t="s">
        <v>43</v>
      </c>
      <c r="F764" s="1" t="s">
        <v>29</v>
      </c>
      <c r="G764" s="1" t="s">
        <v>97</v>
      </c>
      <c r="H764" s="1" t="s">
        <v>398</v>
      </c>
      <c r="I764" s="1" t="s">
        <v>395</v>
      </c>
      <c r="J764" s="1" t="s">
        <v>26</v>
      </c>
      <c r="K764" s="1">
        <v>155</v>
      </c>
      <c r="L764" s="1">
        <v>19610</v>
      </c>
      <c r="M764" s="2">
        <f t="shared" si="186"/>
        <v>3039550</v>
      </c>
      <c r="N764" s="1">
        <v>519763.05</v>
      </c>
      <c r="O764" s="1">
        <f t="shared" si="187"/>
        <v>3559313.05</v>
      </c>
      <c r="P764" s="1">
        <v>6141</v>
      </c>
      <c r="Q764" s="1">
        <f t="shared" si="188"/>
        <v>3553172.05</v>
      </c>
      <c r="R764" s="1">
        <v>1815243.75</v>
      </c>
      <c r="S764" s="1">
        <f>U764*0.1</f>
        <v>242032.5</v>
      </c>
      <c r="T764" s="1">
        <f t="shared" si="190"/>
        <v>363048.75</v>
      </c>
      <c r="U764" s="1">
        <v>2420325</v>
      </c>
      <c r="V764" s="1">
        <f t="shared" si="185"/>
        <v>1132847.0499999998</v>
      </c>
      <c r="W764" s="1">
        <v>4.7</v>
      </c>
    </row>
    <row r="765" spans="1:23" x14ac:dyDescent="0.25">
      <c r="A765" s="1" t="s">
        <v>133</v>
      </c>
      <c r="B765" s="1" t="s">
        <v>58</v>
      </c>
      <c r="C765" s="1" t="s">
        <v>408</v>
      </c>
      <c r="D765" s="1" t="s">
        <v>55</v>
      </c>
      <c r="E765" s="1" t="s">
        <v>56</v>
      </c>
      <c r="F765" s="1" t="s">
        <v>24</v>
      </c>
      <c r="G765" s="1" t="s">
        <v>119</v>
      </c>
      <c r="H765" s="1" t="s">
        <v>398</v>
      </c>
      <c r="I765" s="1" t="s">
        <v>397</v>
      </c>
      <c r="J765" s="1" t="s">
        <v>26</v>
      </c>
      <c r="K765" s="1">
        <v>108</v>
      </c>
      <c r="L765" s="1">
        <v>26959</v>
      </c>
      <c r="M765" s="2">
        <f t="shared" si="186"/>
        <v>2911572</v>
      </c>
      <c r="N765" s="1">
        <v>445470.52</v>
      </c>
      <c r="O765" s="1">
        <f t="shared" si="187"/>
        <v>3357042.52</v>
      </c>
      <c r="P765" s="1">
        <v>7410</v>
      </c>
      <c r="Q765" s="1">
        <f t="shared" si="188"/>
        <v>3349632.52</v>
      </c>
      <c r="R765" s="1">
        <v>1580067</v>
      </c>
      <c r="S765" s="1">
        <f t="shared" si="193"/>
        <v>421351.2</v>
      </c>
      <c r="T765" s="1">
        <f t="shared" si="190"/>
        <v>105337.80000000005</v>
      </c>
      <c r="U765" s="1">
        <v>2106756</v>
      </c>
      <c r="V765" s="1">
        <f t="shared" si="185"/>
        <v>1242876.52</v>
      </c>
      <c r="W765" s="1">
        <v>3.7</v>
      </c>
    </row>
    <row r="766" spans="1:23" x14ac:dyDescent="0.25">
      <c r="A766" s="1" t="s">
        <v>387</v>
      </c>
      <c r="B766" s="1" t="s">
        <v>58</v>
      </c>
      <c r="C766" s="1" t="s">
        <v>408</v>
      </c>
      <c r="D766" s="1" t="s">
        <v>42</v>
      </c>
      <c r="E766" s="1" t="s">
        <v>43</v>
      </c>
      <c r="F766" s="1" t="s">
        <v>29</v>
      </c>
      <c r="G766" s="1" t="s">
        <v>97</v>
      </c>
      <c r="H766" s="1" t="s">
        <v>398</v>
      </c>
      <c r="I766" s="1" t="s">
        <v>396</v>
      </c>
      <c r="J766" s="1" t="s">
        <v>46</v>
      </c>
      <c r="K766" s="1">
        <v>57</v>
      </c>
      <c r="L766" s="1">
        <v>17937</v>
      </c>
      <c r="M766" s="2">
        <f t="shared" si="186"/>
        <v>1022409</v>
      </c>
      <c r="N766" s="1">
        <v>161949.59</v>
      </c>
      <c r="O766" s="1">
        <f t="shared" si="187"/>
        <v>1184358.5900000001</v>
      </c>
      <c r="P766" s="1">
        <v>8717</v>
      </c>
      <c r="Q766" s="1">
        <f t="shared" si="188"/>
        <v>1175641.5900000001</v>
      </c>
      <c r="R766" s="1">
        <v>394554</v>
      </c>
      <c r="S766" s="1">
        <f>U766*0.1</f>
        <v>78910.8</v>
      </c>
      <c r="T766" s="1">
        <f t="shared" si="190"/>
        <v>315643.19999999995</v>
      </c>
      <c r="U766" s="1">
        <v>789108</v>
      </c>
      <c r="V766" s="1">
        <f t="shared" si="185"/>
        <v>386533.59000000008</v>
      </c>
      <c r="W766" s="1">
        <v>3.7</v>
      </c>
    </row>
    <row r="767" spans="1:23" x14ac:dyDescent="0.25">
      <c r="A767" s="1" t="s">
        <v>120</v>
      </c>
      <c r="B767" s="1" t="s">
        <v>51</v>
      </c>
      <c r="C767" s="1" t="s">
        <v>408</v>
      </c>
      <c r="D767" s="1" t="s">
        <v>42</v>
      </c>
      <c r="E767" s="1" t="s">
        <v>43</v>
      </c>
      <c r="F767" s="1" t="s">
        <v>59</v>
      </c>
      <c r="G767" s="1" t="s">
        <v>121</v>
      </c>
      <c r="H767" s="1" t="s">
        <v>399</v>
      </c>
      <c r="I767" s="1" t="s">
        <v>395</v>
      </c>
      <c r="J767" s="1" t="s">
        <v>46</v>
      </c>
      <c r="K767" s="1">
        <v>124</v>
      </c>
      <c r="L767" s="1">
        <v>15970</v>
      </c>
      <c r="M767" s="2">
        <f t="shared" si="186"/>
        <v>1980280</v>
      </c>
      <c r="N767" s="1">
        <v>313676.34999999998</v>
      </c>
      <c r="O767" s="1">
        <f t="shared" si="187"/>
        <v>2293956.35</v>
      </c>
      <c r="P767" s="1">
        <v>9677</v>
      </c>
      <c r="Q767" s="1">
        <f t="shared" si="188"/>
        <v>2284279.35</v>
      </c>
      <c r="R767" s="1">
        <f>0.7*U767</f>
        <v>929280.79999999993</v>
      </c>
      <c r="S767" s="1">
        <f t="shared" si="193"/>
        <v>265508.8</v>
      </c>
      <c r="T767" s="1">
        <f t="shared" si="190"/>
        <v>132754.40000000002</v>
      </c>
      <c r="U767" s="1">
        <v>1327544</v>
      </c>
      <c r="V767" s="1">
        <f t="shared" si="185"/>
        <v>956735.35000000009</v>
      </c>
      <c r="W767" s="1">
        <v>4.9000000000000004</v>
      </c>
    </row>
    <row r="768" spans="1:23" x14ac:dyDescent="0.25">
      <c r="A768" s="1" t="s">
        <v>346</v>
      </c>
      <c r="B768" s="1" t="s">
        <v>41</v>
      </c>
      <c r="C768" s="1" t="s">
        <v>408</v>
      </c>
      <c r="D768" s="1" t="s">
        <v>15</v>
      </c>
      <c r="E768" s="1" t="s">
        <v>16</v>
      </c>
      <c r="F768" s="1" t="s">
        <v>17</v>
      </c>
      <c r="G768" s="1" t="s">
        <v>35</v>
      </c>
      <c r="H768" s="1" t="s">
        <v>398</v>
      </c>
      <c r="I768" s="1" t="s">
        <v>19</v>
      </c>
      <c r="J768" s="1" t="s">
        <v>46</v>
      </c>
      <c r="K768" s="1">
        <v>135</v>
      </c>
      <c r="L768" s="1">
        <v>18129</v>
      </c>
      <c r="M768" s="2">
        <f t="shared" si="186"/>
        <v>2447415</v>
      </c>
      <c r="N768" s="1">
        <v>387670.54</v>
      </c>
      <c r="O768" s="1">
        <f t="shared" si="187"/>
        <v>2835085.54</v>
      </c>
      <c r="P768" s="1">
        <v>6372</v>
      </c>
      <c r="Q768" s="1">
        <f t="shared" si="188"/>
        <v>2828713.54</v>
      </c>
      <c r="R768" s="1">
        <f>0.62*U768</f>
        <v>1191302.1000000001</v>
      </c>
      <c r="S768" s="1">
        <f>U768*0.2</f>
        <v>384291</v>
      </c>
      <c r="T768" s="1">
        <f t="shared" si="190"/>
        <v>345861.89999999991</v>
      </c>
      <c r="U768" s="1">
        <v>1921455</v>
      </c>
      <c r="V768" s="1">
        <f t="shared" si="185"/>
        <v>907258.54</v>
      </c>
      <c r="W768" s="1">
        <v>3.5</v>
      </c>
    </row>
    <row r="769" spans="1:23" x14ac:dyDescent="0.25">
      <c r="A769" s="1" t="s">
        <v>341</v>
      </c>
      <c r="B769" s="1" t="s">
        <v>14</v>
      </c>
      <c r="C769" s="1" t="s">
        <v>408</v>
      </c>
      <c r="D769" s="1" t="s">
        <v>55</v>
      </c>
      <c r="E769" s="1" t="s">
        <v>56</v>
      </c>
      <c r="F769" s="1" t="s">
        <v>29</v>
      </c>
      <c r="G769" s="1" t="s">
        <v>97</v>
      </c>
      <c r="H769" s="1" t="s">
        <v>398</v>
      </c>
      <c r="I769" s="1" t="s">
        <v>39</v>
      </c>
      <c r="J769" s="1" t="s">
        <v>26</v>
      </c>
      <c r="K769" s="1">
        <v>186</v>
      </c>
      <c r="L769" s="1">
        <v>29408</v>
      </c>
      <c r="M769" s="2">
        <f t="shared" si="186"/>
        <v>5469888</v>
      </c>
      <c r="N769" s="1">
        <v>905813.45</v>
      </c>
      <c r="O769" s="1">
        <f t="shared" si="187"/>
        <v>6375701.4500000002</v>
      </c>
      <c r="P769" s="1">
        <v>6170</v>
      </c>
      <c r="Q769" s="1">
        <f t="shared" si="188"/>
        <v>6369531.4500000002</v>
      </c>
      <c r="R769" s="1">
        <v>1964997</v>
      </c>
      <c r="S769" s="1">
        <f>U769*0.1</f>
        <v>392999.4</v>
      </c>
      <c r="T769" s="1">
        <f t="shared" si="190"/>
        <v>1571997.6</v>
      </c>
      <c r="U769" s="1">
        <v>3929994</v>
      </c>
      <c r="V769" s="1">
        <f t="shared" si="185"/>
        <v>2439537.4500000002</v>
      </c>
      <c r="W769" s="1">
        <v>4.2</v>
      </c>
    </row>
    <row r="770" spans="1:23" x14ac:dyDescent="0.25">
      <c r="A770" s="1" t="s">
        <v>195</v>
      </c>
      <c r="B770" s="1" t="s">
        <v>58</v>
      </c>
      <c r="C770" s="1" t="s">
        <v>408</v>
      </c>
      <c r="D770" s="1" t="s">
        <v>42</v>
      </c>
      <c r="E770" s="1" t="s">
        <v>43</v>
      </c>
      <c r="F770" s="1" t="s">
        <v>24</v>
      </c>
      <c r="G770" s="1" t="s">
        <v>25</v>
      </c>
      <c r="H770" s="1" t="s">
        <v>399</v>
      </c>
      <c r="I770" s="1" t="s">
        <v>39</v>
      </c>
      <c r="J770" s="1" t="s">
        <v>26</v>
      </c>
      <c r="K770" s="1">
        <v>36</v>
      </c>
      <c r="L770" s="1">
        <v>30487</v>
      </c>
      <c r="M770" s="2">
        <f t="shared" si="186"/>
        <v>1097532</v>
      </c>
      <c r="N770" s="1">
        <v>173849.07</v>
      </c>
      <c r="O770" s="1">
        <f t="shared" si="187"/>
        <v>1271381.07</v>
      </c>
      <c r="P770" s="1">
        <v>9051</v>
      </c>
      <c r="Q770" s="1">
        <f t="shared" si="188"/>
        <v>1262330.07</v>
      </c>
      <c r="R770" s="1">
        <v>433980</v>
      </c>
      <c r="S770" s="1">
        <f t="shared" si="193"/>
        <v>173592</v>
      </c>
      <c r="T770" s="1">
        <f t="shared" si="190"/>
        <v>260388</v>
      </c>
      <c r="U770" s="1">
        <v>867960</v>
      </c>
      <c r="V770" s="1">
        <f t="shared" si="185"/>
        <v>394370.07000000007</v>
      </c>
      <c r="W770" s="1">
        <v>4.3</v>
      </c>
    </row>
    <row r="771" spans="1:23" x14ac:dyDescent="0.25">
      <c r="A771" s="1" t="s">
        <v>357</v>
      </c>
      <c r="B771" s="1" t="s">
        <v>28</v>
      </c>
      <c r="C771" s="1" t="s">
        <v>408</v>
      </c>
      <c r="D771" s="1" t="s">
        <v>22</v>
      </c>
      <c r="E771" s="1" t="s">
        <v>23</v>
      </c>
      <c r="F771" s="1" t="s">
        <v>24</v>
      </c>
      <c r="G771" s="1" t="s">
        <v>119</v>
      </c>
      <c r="H771" s="1" t="s">
        <v>399</v>
      </c>
      <c r="I771" s="1" t="s">
        <v>397</v>
      </c>
      <c r="J771" s="1" t="s">
        <v>46</v>
      </c>
      <c r="K771" s="1">
        <v>122</v>
      </c>
      <c r="L771" s="1">
        <v>10706</v>
      </c>
      <c r="M771" s="2">
        <f t="shared" si="186"/>
        <v>1306132</v>
      </c>
      <c r="N771" s="1">
        <v>199838.2</v>
      </c>
      <c r="O771" s="1">
        <f t="shared" si="187"/>
        <v>1505970.2</v>
      </c>
      <c r="P771" s="1">
        <v>5796</v>
      </c>
      <c r="Q771" s="1">
        <f t="shared" si="188"/>
        <v>1500174.2</v>
      </c>
      <c r="R771" s="1">
        <v>464759</v>
      </c>
      <c r="S771" s="1">
        <f t="shared" si="193"/>
        <v>185903.6</v>
      </c>
      <c r="T771" s="1">
        <f t="shared" si="190"/>
        <v>278855.40000000002</v>
      </c>
      <c r="U771" s="1">
        <v>929518</v>
      </c>
      <c r="V771" s="1">
        <f t="shared" si="185"/>
        <v>570656.19999999995</v>
      </c>
      <c r="W771" s="1">
        <v>4.3</v>
      </c>
    </row>
    <row r="772" spans="1:23" x14ac:dyDescent="0.25">
      <c r="A772" s="1" t="s">
        <v>283</v>
      </c>
      <c r="B772" s="1" t="s">
        <v>77</v>
      </c>
      <c r="C772" s="1" t="s">
        <v>408</v>
      </c>
      <c r="D772" s="1" t="s">
        <v>74</v>
      </c>
      <c r="E772" s="1" t="s">
        <v>56</v>
      </c>
      <c r="F772" s="1" t="s">
        <v>29</v>
      </c>
      <c r="G772" s="1" t="s">
        <v>91</v>
      </c>
      <c r="H772" s="1" t="s">
        <v>399</v>
      </c>
      <c r="I772" s="1" t="s">
        <v>395</v>
      </c>
      <c r="J772" s="1" t="s">
        <v>46</v>
      </c>
      <c r="K772" s="1">
        <v>156</v>
      </c>
      <c r="L772" s="1">
        <v>14709</v>
      </c>
      <c r="M772" s="2">
        <f t="shared" si="186"/>
        <v>2294604</v>
      </c>
      <c r="N772" s="1">
        <v>413028.72</v>
      </c>
      <c r="O772" s="1">
        <f t="shared" si="187"/>
        <v>2707632.7199999997</v>
      </c>
      <c r="P772" s="1">
        <v>9676</v>
      </c>
      <c r="Q772" s="1">
        <f t="shared" si="188"/>
        <v>2697956.7199999997</v>
      </c>
      <c r="R772" s="1">
        <v>845832</v>
      </c>
      <c r="S772" s="1">
        <f t="shared" ref="S772:S773" si="198">U772*0.1</f>
        <v>169166.40000000002</v>
      </c>
      <c r="T772" s="1">
        <f t="shared" si="190"/>
        <v>676665.60000000009</v>
      </c>
      <c r="U772" s="1">
        <v>1691664</v>
      </c>
      <c r="V772" s="1">
        <f t="shared" ref="V772:V803" si="199">Q772-U772</f>
        <v>1006292.7199999997</v>
      </c>
      <c r="W772" s="1">
        <v>4</v>
      </c>
    </row>
    <row r="773" spans="1:23" x14ac:dyDescent="0.25">
      <c r="A773" s="1" t="s">
        <v>136</v>
      </c>
      <c r="B773" s="1" t="s">
        <v>58</v>
      </c>
      <c r="C773" s="1" t="s">
        <v>408</v>
      </c>
      <c r="D773" s="1" t="s">
        <v>42</v>
      </c>
      <c r="E773" s="1" t="s">
        <v>43</v>
      </c>
      <c r="F773" s="1" t="s">
        <v>29</v>
      </c>
      <c r="G773" s="1" t="s">
        <v>87</v>
      </c>
      <c r="H773" s="1" t="s">
        <v>398</v>
      </c>
      <c r="I773" s="1" t="s">
        <v>19</v>
      </c>
      <c r="J773" s="1" t="s">
        <v>46</v>
      </c>
      <c r="K773" s="1">
        <v>66</v>
      </c>
      <c r="L773" s="1">
        <v>18388</v>
      </c>
      <c r="M773" s="2">
        <f t="shared" ref="M773:M803" si="200">K773*L773</f>
        <v>1213608</v>
      </c>
      <c r="N773" s="1">
        <v>207526.97</v>
      </c>
      <c r="O773" s="1">
        <f t="shared" ref="O773:O803" si="201">M773+N773</f>
        <v>1421134.97</v>
      </c>
      <c r="P773" s="1">
        <v>7947</v>
      </c>
      <c r="Q773" s="1">
        <f t="shared" ref="Q773:Q803" si="202">O773-P773</f>
        <v>1413187.97</v>
      </c>
      <c r="R773" s="1">
        <v>196201.5</v>
      </c>
      <c r="S773" s="1">
        <f t="shared" si="198"/>
        <v>78480.600000000006</v>
      </c>
      <c r="T773" s="1">
        <f t="shared" ref="T773:T803" si="203">U773-S773-R773</f>
        <v>510123.9</v>
      </c>
      <c r="U773" s="1">
        <v>784806</v>
      </c>
      <c r="V773" s="1">
        <f t="shared" si="199"/>
        <v>628381.97</v>
      </c>
      <c r="W773" s="1">
        <v>4.8</v>
      </c>
    </row>
    <row r="774" spans="1:23" x14ac:dyDescent="0.25">
      <c r="A774" s="1" t="s">
        <v>325</v>
      </c>
      <c r="B774" s="1" t="s">
        <v>58</v>
      </c>
      <c r="C774" s="1" t="s">
        <v>408</v>
      </c>
      <c r="D774" s="1" t="s">
        <v>62</v>
      </c>
      <c r="E774" s="1" t="s">
        <v>43</v>
      </c>
      <c r="F774" s="1" t="s">
        <v>24</v>
      </c>
      <c r="G774" s="1" t="s">
        <v>119</v>
      </c>
      <c r="H774" s="1" t="s">
        <v>398</v>
      </c>
      <c r="I774" s="1" t="s">
        <v>396</v>
      </c>
      <c r="J774" s="1" t="s">
        <v>46</v>
      </c>
      <c r="K774" s="1">
        <v>97</v>
      </c>
      <c r="L774" s="1">
        <v>1682</v>
      </c>
      <c r="M774" s="2">
        <f t="shared" si="200"/>
        <v>163154</v>
      </c>
      <c r="N774" s="1">
        <v>25843.59</v>
      </c>
      <c r="O774" s="1">
        <f t="shared" si="201"/>
        <v>188997.59</v>
      </c>
      <c r="P774" s="1">
        <v>8676</v>
      </c>
      <c r="Q774" s="1">
        <f t="shared" si="202"/>
        <v>180321.59</v>
      </c>
      <c r="R774" s="1">
        <v>67124</v>
      </c>
      <c r="S774" s="1">
        <f t="shared" ref="S774:S803" si="204">U774*0.2</f>
        <v>26849.600000000002</v>
      </c>
      <c r="T774" s="1">
        <f t="shared" si="203"/>
        <v>40274.399999999994</v>
      </c>
      <c r="U774" s="1">
        <v>134248</v>
      </c>
      <c r="V774" s="1">
        <f t="shared" si="199"/>
        <v>46073.59</v>
      </c>
      <c r="W774" s="1">
        <v>4.5</v>
      </c>
    </row>
    <row r="775" spans="1:23" x14ac:dyDescent="0.25">
      <c r="A775" s="1" t="s">
        <v>316</v>
      </c>
      <c r="B775" s="1" t="s">
        <v>109</v>
      </c>
      <c r="C775" s="1" t="s">
        <v>408</v>
      </c>
      <c r="D775" s="1" t="s">
        <v>22</v>
      </c>
      <c r="E775" s="1" t="s">
        <v>23</v>
      </c>
      <c r="F775" s="1" t="s">
        <v>59</v>
      </c>
      <c r="G775" s="1" t="s">
        <v>60</v>
      </c>
      <c r="H775" s="1" t="s">
        <v>399</v>
      </c>
      <c r="I775" s="1" t="s">
        <v>396</v>
      </c>
      <c r="J775" s="1" t="s">
        <v>46</v>
      </c>
      <c r="K775" s="1">
        <v>66</v>
      </c>
      <c r="L775" s="1">
        <v>15755</v>
      </c>
      <c r="M775" s="2">
        <f t="shared" si="200"/>
        <v>1039830</v>
      </c>
      <c r="N775" s="1">
        <v>187169.4</v>
      </c>
      <c r="O775" s="1">
        <f t="shared" si="201"/>
        <v>1226999.3999999999</v>
      </c>
      <c r="P775" s="1">
        <v>7574</v>
      </c>
      <c r="Q775" s="1">
        <f t="shared" si="202"/>
        <v>1219425.3999999999</v>
      </c>
      <c r="R775" s="1">
        <f>0.7*U775</f>
        <v>531808.19999999995</v>
      </c>
      <c r="S775" s="1">
        <f t="shared" si="204"/>
        <v>151945.20000000001</v>
      </c>
      <c r="T775" s="1">
        <f t="shared" si="203"/>
        <v>75972.600000000093</v>
      </c>
      <c r="U775" s="1">
        <v>759726</v>
      </c>
      <c r="V775" s="1">
        <f t="shared" si="199"/>
        <v>459699.39999999991</v>
      </c>
      <c r="W775" s="1">
        <v>4.7</v>
      </c>
    </row>
    <row r="776" spans="1:23" x14ac:dyDescent="0.25">
      <c r="A776" s="1" t="s">
        <v>351</v>
      </c>
      <c r="B776" s="1" t="s">
        <v>37</v>
      </c>
      <c r="C776" s="1" t="s">
        <v>408</v>
      </c>
      <c r="D776" s="1" t="s">
        <v>78</v>
      </c>
      <c r="E776" s="1" t="s">
        <v>49</v>
      </c>
      <c r="F776" s="1" t="s">
        <v>17</v>
      </c>
      <c r="G776" s="1" t="s">
        <v>72</v>
      </c>
      <c r="H776" s="1" t="s">
        <v>399</v>
      </c>
      <c r="I776" s="1" t="s">
        <v>397</v>
      </c>
      <c r="J776" s="1" t="s">
        <v>26</v>
      </c>
      <c r="K776" s="1">
        <v>114</v>
      </c>
      <c r="L776" s="1">
        <v>20512</v>
      </c>
      <c r="M776" s="2">
        <f t="shared" si="200"/>
        <v>2338368</v>
      </c>
      <c r="N776" s="1">
        <v>399860.93</v>
      </c>
      <c r="O776" s="1">
        <f t="shared" si="201"/>
        <v>2738228.93</v>
      </c>
      <c r="P776" s="1">
        <v>5154</v>
      </c>
      <c r="Q776" s="1">
        <f t="shared" si="202"/>
        <v>2733074.93</v>
      </c>
      <c r="R776" s="1">
        <f>0.62*U776</f>
        <v>1123812</v>
      </c>
      <c r="S776" s="1">
        <f>U776*0.2</f>
        <v>362520</v>
      </c>
      <c r="T776" s="1">
        <f t="shared" si="203"/>
        <v>326268</v>
      </c>
      <c r="U776" s="1">
        <v>1812600</v>
      </c>
      <c r="V776" s="1">
        <f t="shared" si="199"/>
        <v>920474.93000000017</v>
      </c>
      <c r="W776" s="1">
        <v>4.5</v>
      </c>
    </row>
    <row r="777" spans="1:23" x14ac:dyDescent="0.25">
      <c r="A777" s="1" t="s">
        <v>227</v>
      </c>
      <c r="B777" s="1" t="s">
        <v>77</v>
      </c>
      <c r="C777" s="1" t="s">
        <v>408</v>
      </c>
      <c r="D777" s="1" t="s">
        <v>74</v>
      </c>
      <c r="E777" s="1" t="s">
        <v>56</v>
      </c>
      <c r="F777" s="1" t="s">
        <v>59</v>
      </c>
      <c r="G777" s="1" t="s">
        <v>103</v>
      </c>
      <c r="H777" s="1" t="s">
        <v>398</v>
      </c>
      <c r="I777" s="1" t="s">
        <v>397</v>
      </c>
      <c r="J777" s="1" t="s">
        <v>46</v>
      </c>
      <c r="K777" s="1">
        <v>190</v>
      </c>
      <c r="L777" s="1">
        <v>6406</v>
      </c>
      <c r="M777" s="2">
        <f t="shared" si="200"/>
        <v>1217140</v>
      </c>
      <c r="N777" s="1">
        <v>186222.42</v>
      </c>
      <c r="O777" s="1">
        <f t="shared" si="201"/>
        <v>1403362.42</v>
      </c>
      <c r="P777" s="1">
        <v>5156</v>
      </c>
      <c r="Q777" s="1">
        <f t="shared" si="202"/>
        <v>1398206.42</v>
      </c>
      <c r="R777" s="1">
        <f>0.7*U777</f>
        <v>610204</v>
      </c>
      <c r="S777" s="1">
        <f t="shared" si="204"/>
        <v>174344</v>
      </c>
      <c r="T777" s="1">
        <f t="shared" si="203"/>
        <v>87172</v>
      </c>
      <c r="U777" s="1">
        <v>871720</v>
      </c>
      <c r="V777" s="1">
        <f t="shared" si="199"/>
        <v>526486.41999999993</v>
      </c>
      <c r="W777" s="1">
        <v>4.4000000000000004</v>
      </c>
    </row>
    <row r="778" spans="1:23" x14ac:dyDescent="0.25">
      <c r="A778" s="1" t="s">
        <v>107</v>
      </c>
      <c r="B778" s="1" t="s">
        <v>21</v>
      </c>
      <c r="C778" s="1" t="s">
        <v>408</v>
      </c>
      <c r="D778" s="1" t="s">
        <v>74</v>
      </c>
      <c r="E778" s="1" t="s">
        <v>56</v>
      </c>
      <c r="F778" s="1" t="s">
        <v>17</v>
      </c>
      <c r="G778" s="1" t="s">
        <v>72</v>
      </c>
      <c r="H778" s="1" t="s">
        <v>398</v>
      </c>
      <c r="I778" s="1" t="s">
        <v>39</v>
      </c>
      <c r="J778" s="1" t="s">
        <v>46</v>
      </c>
      <c r="K778" s="1">
        <v>79</v>
      </c>
      <c r="L778" s="1">
        <v>18972</v>
      </c>
      <c r="M778" s="2">
        <f t="shared" si="200"/>
        <v>1498788</v>
      </c>
      <c r="N778" s="1">
        <v>237408.02</v>
      </c>
      <c r="O778" s="1">
        <f t="shared" si="201"/>
        <v>1736196.02</v>
      </c>
      <c r="P778" s="1">
        <v>7375</v>
      </c>
      <c r="Q778" s="1">
        <f t="shared" si="202"/>
        <v>1728821.02</v>
      </c>
      <c r="R778" s="1">
        <f>0.62*U778</f>
        <v>589425.31999999995</v>
      </c>
      <c r="S778" s="1">
        <f>U778*0.2</f>
        <v>190137.2</v>
      </c>
      <c r="T778" s="1">
        <f t="shared" si="203"/>
        <v>171123.4800000001</v>
      </c>
      <c r="U778" s="1">
        <v>950686</v>
      </c>
      <c r="V778" s="1">
        <f t="shared" si="199"/>
        <v>778135.02</v>
      </c>
      <c r="W778" s="1">
        <v>4.5999999999999996</v>
      </c>
    </row>
    <row r="779" spans="1:23" x14ac:dyDescent="0.25">
      <c r="A779" s="1" t="s">
        <v>349</v>
      </c>
      <c r="B779" s="1" t="s">
        <v>77</v>
      </c>
      <c r="C779" s="1" t="s">
        <v>408</v>
      </c>
      <c r="D779" s="1" t="s">
        <v>15</v>
      </c>
      <c r="E779" s="1" t="s">
        <v>16</v>
      </c>
      <c r="F779" s="1" t="s">
        <v>59</v>
      </c>
      <c r="G779" s="1" t="s">
        <v>60</v>
      </c>
      <c r="H779" s="1" t="s">
        <v>399</v>
      </c>
      <c r="I779" s="1" t="s">
        <v>39</v>
      </c>
      <c r="J779" s="1" t="s">
        <v>46</v>
      </c>
      <c r="K779" s="1">
        <v>159</v>
      </c>
      <c r="L779" s="1">
        <v>23188</v>
      </c>
      <c r="M779" s="2">
        <f t="shared" si="200"/>
        <v>3686892</v>
      </c>
      <c r="N779" s="1">
        <v>610549.31999999995</v>
      </c>
      <c r="O779" s="1">
        <f t="shared" si="201"/>
        <v>4297441.32</v>
      </c>
      <c r="P779" s="1">
        <v>6474</v>
      </c>
      <c r="Q779" s="1">
        <f t="shared" si="202"/>
        <v>4290967.32</v>
      </c>
      <c r="R779" s="1">
        <f>0.7*U779</f>
        <v>1854703.2</v>
      </c>
      <c r="S779" s="1">
        <f t="shared" si="204"/>
        <v>529915.20000000007</v>
      </c>
      <c r="T779" s="1">
        <f t="shared" si="203"/>
        <v>264957.59999999986</v>
      </c>
      <c r="U779" s="1">
        <v>2649576</v>
      </c>
      <c r="V779" s="1">
        <f t="shared" si="199"/>
        <v>1641391.3200000003</v>
      </c>
      <c r="W779" s="1">
        <v>5</v>
      </c>
    </row>
    <row r="780" spans="1:23" x14ac:dyDescent="0.25">
      <c r="A780" s="1" t="s">
        <v>345</v>
      </c>
      <c r="B780" s="1" t="s">
        <v>28</v>
      </c>
      <c r="C780" s="1" t="s">
        <v>408</v>
      </c>
      <c r="D780" s="1" t="s">
        <v>52</v>
      </c>
      <c r="E780" s="1" t="s">
        <v>23</v>
      </c>
      <c r="F780" s="1" t="s">
        <v>17</v>
      </c>
      <c r="G780" s="1" t="s">
        <v>35</v>
      </c>
      <c r="H780" s="1" t="s">
        <v>398</v>
      </c>
      <c r="I780" s="1" t="s">
        <v>397</v>
      </c>
      <c r="J780" s="1" t="s">
        <v>26</v>
      </c>
      <c r="K780" s="1">
        <v>160</v>
      </c>
      <c r="L780" s="1">
        <v>18140</v>
      </c>
      <c r="M780" s="2">
        <f t="shared" si="200"/>
        <v>2902400</v>
      </c>
      <c r="N780" s="1">
        <v>480637.44</v>
      </c>
      <c r="O780" s="1">
        <f t="shared" si="201"/>
        <v>3383037.44</v>
      </c>
      <c r="P780" s="1">
        <v>6990</v>
      </c>
      <c r="Q780" s="1">
        <f t="shared" si="202"/>
        <v>3376047.44</v>
      </c>
      <c r="R780" s="1">
        <f>0.62*U780</f>
        <v>1466275.2</v>
      </c>
      <c r="S780" s="1">
        <f>U780*0.2</f>
        <v>472992</v>
      </c>
      <c r="T780" s="1">
        <f t="shared" si="203"/>
        <v>425692.80000000005</v>
      </c>
      <c r="U780" s="1">
        <v>2364960</v>
      </c>
      <c r="V780" s="1">
        <f t="shared" si="199"/>
        <v>1011087.44</v>
      </c>
      <c r="W780" s="1">
        <v>4.7</v>
      </c>
    </row>
    <row r="781" spans="1:23" x14ac:dyDescent="0.25">
      <c r="A781" s="1" t="s">
        <v>388</v>
      </c>
      <c r="B781" s="1" t="s">
        <v>77</v>
      </c>
      <c r="C781" s="1" t="s">
        <v>408</v>
      </c>
      <c r="D781" s="1" t="s">
        <v>15</v>
      </c>
      <c r="E781" s="1" t="s">
        <v>16</v>
      </c>
      <c r="F781" s="1" t="s">
        <v>59</v>
      </c>
      <c r="G781" s="1" t="s">
        <v>103</v>
      </c>
      <c r="H781" s="1" t="s">
        <v>399</v>
      </c>
      <c r="I781" s="1" t="s">
        <v>395</v>
      </c>
      <c r="J781" s="1" t="s">
        <v>46</v>
      </c>
      <c r="K781" s="1">
        <v>197</v>
      </c>
      <c r="L781" s="1">
        <v>18039</v>
      </c>
      <c r="M781" s="2">
        <f t="shared" si="200"/>
        <v>3553683</v>
      </c>
      <c r="N781" s="1">
        <v>562903.39</v>
      </c>
      <c r="O781" s="1">
        <f t="shared" si="201"/>
        <v>4116586.39</v>
      </c>
      <c r="P781" s="1">
        <v>7856</v>
      </c>
      <c r="Q781" s="1">
        <f t="shared" si="202"/>
        <v>4108730.39</v>
      </c>
      <c r="R781" s="1">
        <f>0.7*U781</f>
        <v>1732989.2999999998</v>
      </c>
      <c r="S781" s="1">
        <f t="shared" si="204"/>
        <v>495139.80000000005</v>
      </c>
      <c r="T781" s="1">
        <f t="shared" si="203"/>
        <v>247569.90000000014</v>
      </c>
      <c r="U781" s="1">
        <v>2475699</v>
      </c>
      <c r="V781" s="1">
        <f t="shared" si="199"/>
        <v>1633031.3900000001</v>
      </c>
      <c r="W781" s="1">
        <v>4</v>
      </c>
    </row>
    <row r="782" spans="1:23" x14ac:dyDescent="0.25">
      <c r="A782" s="1" t="s">
        <v>124</v>
      </c>
      <c r="B782" s="1" t="s">
        <v>21</v>
      </c>
      <c r="C782" s="1" t="s">
        <v>408</v>
      </c>
      <c r="D782" s="1" t="s">
        <v>22</v>
      </c>
      <c r="E782" s="1" t="s">
        <v>23</v>
      </c>
      <c r="F782" s="1" t="s">
        <v>29</v>
      </c>
      <c r="G782" s="1" t="s">
        <v>87</v>
      </c>
      <c r="H782" s="1" t="s">
        <v>398</v>
      </c>
      <c r="I782" s="1" t="s">
        <v>397</v>
      </c>
      <c r="J782" s="1" t="s">
        <v>26</v>
      </c>
      <c r="K782" s="1">
        <v>136</v>
      </c>
      <c r="L782" s="1">
        <v>28463</v>
      </c>
      <c r="M782" s="2">
        <f t="shared" si="200"/>
        <v>3870968</v>
      </c>
      <c r="N782" s="1">
        <v>661935.53</v>
      </c>
      <c r="O782" s="1">
        <f t="shared" si="201"/>
        <v>4532903.53</v>
      </c>
      <c r="P782" s="1">
        <v>9390</v>
      </c>
      <c r="Q782" s="1">
        <f t="shared" si="202"/>
        <v>4523513.53</v>
      </c>
      <c r="R782" s="1">
        <v>1818048</v>
      </c>
      <c r="S782" s="1">
        <f>U782*0.1</f>
        <v>242406.40000000002</v>
      </c>
      <c r="T782" s="1">
        <f t="shared" si="203"/>
        <v>363609.60000000009</v>
      </c>
      <c r="U782" s="1">
        <v>2424064</v>
      </c>
      <c r="V782" s="1">
        <f t="shared" si="199"/>
        <v>2099449.5300000003</v>
      </c>
      <c r="W782" s="1">
        <v>4.5999999999999996</v>
      </c>
    </row>
    <row r="783" spans="1:23" x14ac:dyDescent="0.25">
      <c r="A783" s="1" t="s">
        <v>389</v>
      </c>
      <c r="B783" s="1" t="s">
        <v>21</v>
      </c>
      <c r="C783" s="1" t="s">
        <v>408</v>
      </c>
      <c r="D783" s="1" t="s">
        <v>55</v>
      </c>
      <c r="E783" s="1" t="s">
        <v>56</v>
      </c>
      <c r="F783" s="1" t="s">
        <v>17</v>
      </c>
      <c r="G783" s="1" t="s">
        <v>18</v>
      </c>
      <c r="H783" s="1" t="s">
        <v>399</v>
      </c>
      <c r="I783" s="1" t="s">
        <v>19</v>
      </c>
      <c r="J783" s="1" t="s">
        <v>46</v>
      </c>
      <c r="K783" s="1">
        <v>200</v>
      </c>
      <c r="L783" s="1">
        <v>22156</v>
      </c>
      <c r="M783" s="2">
        <f t="shared" si="200"/>
        <v>4431200</v>
      </c>
      <c r="N783" s="1">
        <v>797616</v>
      </c>
      <c r="O783" s="1">
        <f t="shared" si="201"/>
        <v>5228816</v>
      </c>
      <c r="P783" s="1">
        <v>9332</v>
      </c>
      <c r="Q783" s="1">
        <f t="shared" si="202"/>
        <v>5219484</v>
      </c>
      <c r="R783" s="1">
        <f>0.62*U783</f>
        <v>2091384</v>
      </c>
      <c r="S783" s="1">
        <f>U783*0.2</f>
        <v>674640</v>
      </c>
      <c r="T783" s="1">
        <f t="shared" si="203"/>
        <v>607176</v>
      </c>
      <c r="U783" s="1">
        <v>3373200</v>
      </c>
      <c r="V783" s="1">
        <f t="shared" si="199"/>
        <v>1846284</v>
      </c>
      <c r="W783" s="1">
        <v>4.7</v>
      </c>
    </row>
    <row r="784" spans="1:23" x14ac:dyDescent="0.25">
      <c r="A784" s="1" t="s">
        <v>154</v>
      </c>
      <c r="B784" s="1" t="s">
        <v>37</v>
      </c>
      <c r="C784" s="1" t="s">
        <v>408</v>
      </c>
      <c r="D784" s="1" t="s">
        <v>55</v>
      </c>
      <c r="E784" s="1" t="s">
        <v>56</v>
      </c>
      <c r="F784" s="1" t="s">
        <v>59</v>
      </c>
      <c r="G784" s="1" t="s">
        <v>67</v>
      </c>
      <c r="H784" s="1" t="s">
        <v>398</v>
      </c>
      <c r="I784" s="1" t="s">
        <v>396</v>
      </c>
      <c r="J784" s="1" t="s">
        <v>46</v>
      </c>
      <c r="K784" s="1">
        <v>29</v>
      </c>
      <c r="L784" s="1">
        <v>14672</v>
      </c>
      <c r="M784" s="2">
        <f t="shared" si="200"/>
        <v>425488</v>
      </c>
      <c r="N784" s="1">
        <v>72758.45</v>
      </c>
      <c r="O784" s="1">
        <f t="shared" si="201"/>
        <v>498246.45</v>
      </c>
      <c r="P784" s="1">
        <v>9632</v>
      </c>
      <c r="Q784" s="1">
        <f t="shared" si="202"/>
        <v>488614.45</v>
      </c>
      <c r="R784" s="1">
        <f t="shared" ref="R784:R785" si="205">0.7*U784</f>
        <v>187247.19999999998</v>
      </c>
      <c r="S784" s="1">
        <f t="shared" si="204"/>
        <v>53499.200000000004</v>
      </c>
      <c r="T784" s="1">
        <f t="shared" si="203"/>
        <v>26749.600000000006</v>
      </c>
      <c r="U784" s="1">
        <v>267496</v>
      </c>
      <c r="V784" s="1">
        <f t="shared" si="199"/>
        <v>221118.45</v>
      </c>
      <c r="W784" s="1">
        <v>3.8</v>
      </c>
    </row>
    <row r="785" spans="1:23" x14ac:dyDescent="0.25">
      <c r="A785" s="1" t="s">
        <v>239</v>
      </c>
      <c r="B785" s="1" t="s">
        <v>77</v>
      </c>
      <c r="C785" s="1" t="s">
        <v>408</v>
      </c>
      <c r="D785" s="1" t="s">
        <v>74</v>
      </c>
      <c r="E785" s="1" t="s">
        <v>56</v>
      </c>
      <c r="F785" s="1" t="s">
        <v>59</v>
      </c>
      <c r="G785" s="1" t="s">
        <v>85</v>
      </c>
      <c r="H785" s="1" t="s">
        <v>399</v>
      </c>
      <c r="I785" s="1" t="s">
        <v>396</v>
      </c>
      <c r="J785" s="1" t="s">
        <v>46</v>
      </c>
      <c r="K785" s="1">
        <v>16</v>
      </c>
      <c r="L785" s="1">
        <v>17969</v>
      </c>
      <c r="M785" s="2">
        <f t="shared" si="200"/>
        <v>287504</v>
      </c>
      <c r="N785" s="1">
        <v>47610.66</v>
      </c>
      <c r="O785" s="1">
        <f t="shared" si="201"/>
        <v>335114.66000000003</v>
      </c>
      <c r="P785" s="1">
        <v>7647</v>
      </c>
      <c r="Q785" s="1">
        <f t="shared" si="202"/>
        <v>327467.66000000003</v>
      </c>
      <c r="R785" s="1">
        <f t="shared" si="205"/>
        <v>126257.59999999999</v>
      </c>
      <c r="S785" s="1">
        <f t="shared" si="204"/>
        <v>36073.599999999999</v>
      </c>
      <c r="T785" s="1">
        <f t="shared" si="203"/>
        <v>18036.800000000003</v>
      </c>
      <c r="U785" s="1">
        <v>180368</v>
      </c>
      <c r="V785" s="1">
        <f t="shared" si="199"/>
        <v>147099.66000000003</v>
      </c>
      <c r="W785" s="1">
        <v>4.2</v>
      </c>
    </row>
    <row r="786" spans="1:23" x14ac:dyDescent="0.25">
      <c r="A786" s="1" t="s">
        <v>205</v>
      </c>
      <c r="B786" s="1" t="s">
        <v>21</v>
      </c>
      <c r="C786" s="1" t="s">
        <v>408</v>
      </c>
      <c r="D786" s="1" t="s">
        <v>22</v>
      </c>
      <c r="E786" s="1" t="s">
        <v>23</v>
      </c>
      <c r="F786" s="1" t="s">
        <v>17</v>
      </c>
      <c r="G786" s="1" t="s">
        <v>72</v>
      </c>
      <c r="H786" s="1" t="s">
        <v>398</v>
      </c>
      <c r="I786" s="1" t="s">
        <v>396</v>
      </c>
      <c r="J786" s="1" t="s">
        <v>46</v>
      </c>
      <c r="K786" s="1">
        <v>114</v>
      </c>
      <c r="L786" s="1">
        <v>22306</v>
      </c>
      <c r="M786" s="2">
        <f t="shared" si="200"/>
        <v>2542884</v>
      </c>
      <c r="N786" s="1">
        <v>389061.25</v>
      </c>
      <c r="O786" s="1">
        <f t="shared" si="201"/>
        <v>2931945.25</v>
      </c>
      <c r="P786" s="1">
        <v>9845</v>
      </c>
      <c r="Q786" s="1">
        <f t="shared" si="202"/>
        <v>2922100.25</v>
      </c>
      <c r="R786" s="1">
        <f t="shared" ref="R786:R787" si="206">0.62*U786</f>
        <v>1259234.8799999999</v>
      </c>
      <c r="S786" s="1">
        <f t="shared" si="204"/>
        <v>406204.80000000005</v>
      </c>
      <c r="T786" s="1">
        <f t="shared" si="203"/>
        <v>365584.32000000007</v>
      </c>
      <c r="U786" s="1">
        <v>2031024</v>
      </c>
      <c r="V786" s="1">
        <f t="shared" si="199"/>
        <v>891076.25</v>
      </c>
      <c r="W786" s="1">
        <v>4.9000000000000004</v>
      </c>
    </row>
    <row r="787" spans="1:23" x14ac:dyDescent="0.25">
      <c r="A787" s="1" t="s">
        <v>227</v>
      </c>
      <c r="B787" s="1" t="s">
        <v>37</v>
      </c>
      <c r="C787" s="1" t="s">
        <v>408</v>
      </c>
      <c r="D787" s="1" t="s">
        <v>15</v>
      </c>
      <c r="E787" s="1" t="s">
        <v>16</v>
      </c>
      <c r="F787" s="1" t="s">
        <v>17</v>
      </c>
      <c r="G787" s="1" t="s">
        <v>75</v>
      </c>
      <c r="H787" s="1" t="s">
        <v>398</v>
      </c>
      <c r="I787" s="1" t="s">
        <v>396</v>
      </c>
      <c r="J787" s="1" t="s">
        <v>26</v>
      </c>
      <c r="K787" s="1">
        <v>51</v>
      </c>
      <c r="L787" s="1">
        <v>25627</v>
      </c>
      <c r="M787" s="2">
        <f t="shared" si="200"/>
        <v>1306977</v>
      </c>
      <c r="N787" s="1">
        <v>235255.86</v>
      </c>
      <c r="O787" s="1">
        <f t="shared" si="201"/>
        <v>1542232.8599999999</v>
      </c>
      <c r="P787" s="1">
        <v>6154</v>
      </c>
      <c r="Q787" s="1">
        <f t="shared" si="202"/>
        <v>1536078.8599999999</v>
      </c>
      <c r="R787" s="1">
        <f t="shared" si="206"/>
        <v>567610.62</v>
      </c>
      <c r="S787" s="1">
        <f t="shared" si="204"/>
        <v>183100.2</v>
      </c>
      <c r="T787" s="1">
        <f t="shared" si="203"/>
        <v>164790.18000000005</v>
      </c>
      <c r="U787" s="1">
        <v>915501</v>
      </c>
      <c r="V787" s="1">
        <f t="shared" si="199"/>
        <v>620577.85999999987</v>
      </c>
      <c r="W787" s="1">
        <v>4.2</v>
      </c>
    </row>
    <row r="788" spans="1:23" x14ac:dyDescent="0.25">
      <c r="A788" s="1" t="s">
        <v>165</v>
      </c>
      <c r="B788" s="1" t="s">
        <v>69</v>
      </c>
      <c r="C788" s="1" t="s">
        <v>408</v>
      </c>
      <c r="D788" s="1" t="s">
        <v>78</v>
      </c>
      <c r="E788" s="1" t="s">
        <v>49</v>
      </c>
      <c r="F788" s="1" t="s">
        <v>59</v>
      </c>
      <c r="G788" s="1" t="s">
        <v>67</v>
      </c>
      <c r="H788" s="1" t="s">
        <v>398</v>
      </c>
      <c r="I788" s="1" t="s">
        <v>395</v>
      </c>
      <c r="J788" s="1" t="s">
        <v>26</v>
      </c>
      <c r="K788" s="1">
        <v>199</v>
      </c>
      <c r="L788" s="1">
        <v>6891</v>
      </c>
      <c r="M788" s="2">
        <f t="shared" si="200"/>
        <v>1371309</v>
      </c>
      <c r="N788" s="1">
        <v>234493.84</v>
      </c>
      <c r="O788" s="1">
        <f t="shared" si="201"/>
        <v>1605802.84</v>
      </c>
      <c r="P788" s="1">
        <v>8394</v>
      </c>
      <c r="Q788" s="1">
        <f t="shared" si="202"/>
        <v>1597408.84</v>
      </c>
      <c r="R788" s="1">
        <f>0.7*U788</f>
        <v>614313</v>
      </c>
      <c r="S788" s="1">
        <f t="shared" si="204"/>
        <v>175518</v>
      </c>
      <c r="T788" s="1">
        <f t="shared" si="203"/>
        <v>87759</v>
      </c>
      <c r="U788" s="1">
        <v>877590</v>
      </c>
      <c r="V788" s="1">
        <f t="shared" si="199"/>
        <v>719818.84000000008</v>
      </c>
      <c r="W788" s="1">
        <v>4.7</v>
      </c>
    </row>
    <row r="789" spans="1:23" x14ac:dyDescent="0.25">
      <c r="A789" s="1" t="s">
        <v>248</v>
      </c>
      <c r="B789" s="1" t="s">
        <v>69</v>
      </c>
      <c r="C789" s="1" t="s">
        <v>408</v>
      </c>
      <c r="D789" s="1" t="s">
        <v>22</v>
      </c>
      <c r="E789" s="1" t="s">
        <v>23</v>
      </c>
      <c r="F789" s="1" t="s">
        <v>24</v>
      </c>
      <c r="G789" s="1" t="s">
        <v>63</v>
      </c>
      <c r="H789" s="1" t="s">
        <v>399</v>
      </c>
      <c r="I789" s="1" t="s">
        <v>395</v>
      </c>
      <c r="J789" s="1" t="s">
        <v>26</v>
      </c>
      <c r="K789" s="1">
        <v>61</v>
      </c>
      <c r="L789" s="1">
        <v>2379</v>
      </c>
      <c r="M789" s="2">
        <f t="shared" si="200"/>
        <v>145119</v>
      </c>
      <c r="N789" s="1">
        <v>22203.21</v>
      </c>
      <c r="O789" s="1">
        <f t="shared" si="201"/>
        <v>167322.21</v>
      </c>
      <c r="P789" s="1">
        <v>5415</v>
      </c>
      <c r="Q789" s="1">
        <f t="shared" si="202"/>
        <v>161907.21</v>
      </c>
      <c r="R789" s="1">
        <v>78964.5</v>
      </c>
      <c r="S789" s="1">
        <f t="shared" si="204"/>
        <v>21057.200000000001</v>
      </c>
      <c r="T789" s="1">
        <f t="shared" si="203"/>
        <v>5264.3000000000029</v>
      </c>
      <c r="U789" s="1">
        <v>105286</v>
      </c>
      <c r="V789" s="1">
        <f t="shared" si="199"/>
        <v>56621.209999999992</v>
      </c>
      <c r="W789" s="1">
        <v>4.8</v>
      </c>
    </row>
    <row r="790" spans="1:23" x14ac:dyDescent="0.25">
      <c r="A790" s="1" t="s">
        <v>152</v>
      </c>
      <c r="B790" s="1" t="s">
        <v>32</v>
      </c>
      <c r="C790" s="1" t="s">
        <v>408</v>
      </c>
      <c r="D790" s="1" t="s">
        <v>42</v>
      </c>
      <c r="E790" s="1" t="s">
        <v>43</v>
      </c>
      <c r="F790" s="1" t="s">
        <v>29</v>
      </c>
      <c r="G790" s="1" t="s">
        <v>97</v>
      </c>
      <c r="H790" s="1" t="s">
        <v>399</v>
      </c>
      <c r="I790" s="1" t="s">
        <v>39</v>
      </c>
      <c r="J790" s="1" t="s">
        <v>46</v>
      </c>
      <c r="K790" s="1">
        <v>38</v>
      </c>
      <c r="L790" s="1">
        <v>35313</v>
      </c>
      <c r="M790" s="2">
        <f t="shared" si="200"/>
        <v>1341894</v>
      </c>
      <c r="N790" s="1">
        <v>229463.87</v>
      </c>
      <c r="O790" s="1">
        <f t="shared" si="201"/>
        <v>1571357.87</v>
      </c>
      <c r="P790" s="1">
        <v>9588</v>
      </c>
      <c r="Q790" s="1">
        <f t="shared" si="202"/>
        <v>1561769.87</v>
      </c>
      <c r="R790" s="1">
        <v>463391</v>
      </c>
      <c r="S790" s="1">
        <f>U790*0.1</f>
        <v>92678.200000000012</v>
      </c>
      <c r="T790" s="1">
        <f t="shared" si="203"/>
        <v>370712.80000000005</v>
      </c>
      <c r="U790" s="1">
        <v>926782</v>
      </c>
      <c r="V790" s="1">
        <f t="shared" si="199"/>
        <v>634987.87000000011</v>
      </c>
      <c r="W790" s="1">
        <v>3.6</v>
      </c>
    </row>
    <row r="791" spans="1:23" x14ac:dyDescent="0.25">
      <c r="A791" s="1" t="s">
        <v>377</v>
      </c>
      <c r="B791" s="1" t="s">
        <v>21</v>
      </c>
      <c r="C791" s="1" t="s">
        <v>408</v>
      </c>
      <c r="D791" s="1" t="s">
        <v>42</v>
      </c>
      <c r="E791" s="1" t="s">
        <v>43</v>
      </c>
      <c r="F791" s="1" t="s">
        <v>17</v>
      </c>
      <c r="G791" s="1" t="s">
        <v>35</v>
      </c>
      <c r="H791" s="1" t="s">
        <v>399</v>
      </c>
      <c r="I791" s="1" t="s">
        <v>395</v>
      </c>
      <c r="J791" s="1" t="s">
        <v>46</v>
      </c>
      <c r="K791" s="1">
        <v>119</v>
      </c>
      <c r="L791" s="1">
        <v>36969</v>
      </c>
      <c r="M791" s="2">
        <f t="shared" si="200"/>
        <v>4399311</v>
      </c>
      <c r="N791" s="1">
        <v>673094.58</v>
      </c>
      <c r="O791" s="1">
        <f t="shared" si="201"/>
        <v>5072405.58</v>
      </c>
      <c r="P791" s="1">
        <v>7133</v>
      </c>
      <c r="Q791" s="1">
        <f t="shared" si="202"/>
        <v>5065272.58</v>
      </c>
      <c r="R791" s="1">
        <f>0.62*U791</f>
        <v>1799641.76</v>
      </c>
      <c r="S791" s="1">
        <f>U791*0.2</f>
        <v>580529.6</v>
      </c>
      <c r="T791" s="1">
        <f t="shared" si="203"/>
        <v>522476.6399999999</v>
      </c>
      <c r="U791" s="1">
        <v>2902648</v>
      </c>
      <c r="V791" s="1">
        <f t="shared" si="199"/>
        <v>2162624.58</v>
      </c>
      <c r="W791" s="1">
        <v>4.2</v>
      </c>
    </row>
    <row r="792" spans="1:23" x14ac:dyDescent="0.25">
      <c r="A792" s="1" t="s">
        <v>204</v>
      </c>
      <c r="B792" s="1" t="s">
        <v>14</v>
      </c>
      <c r="C792" s="1" t="s">
        <v>408</v>
      </c>
      <c r="D792" s="1" t="s">
        <v>22</v>
      </c>
      <c r="E792" s="1" t="s">
        <v>23</v>
      </c>
      <c r="F792" s="1" t="s">
        <v>59</v>
      </c>
      <c r="G792" s="1" t="s">
        <v>103</v>
      </c>
      <c r="H792" s="1" t="s">
        <v>398</v>
      </c>
      <c r="I792" s="1" t="s">
        <v>19</v>
      </c>
      <c r="J792" s="1" t="s">
        <v>26</v>
      </c>
      <c r="K792" s="1">
        <v>139</v>
      </c>
      <c r="L792" s="1">
        <v>14539</v>
      </c>
      <c r="M792" s="2">
        <f t="shared" si="200"/>
        <v>2020921</v>
      </c>
      <c r="N792" s="1">
        <v>320113.89</v>
      </c>
      <c r="O792" s="1">
        <f t="shared" si="201"/>
        <v>2341034.89</v>
      </c>
      <c r="P792" s="1">
        <v>6084</v>
      </c>
      <c r="Q792" s="1">
        <f t="shared" si="202"/>
        <v>2334950.89</v>
      </c>
      <c r="R792" s="1">
        <f>0.7*U792</f>
        <v>946826.29999999993</v>
      </c>
      <c r="S792" s="1">
        <f t="shared" si="204"/>
        <v>270521.8</v>
      </c>
      <c r="T792" s="1">
        <f t="shared" si="203"/>
        <v>135260.90000000002</v>
      </c>
      <c r="U792" s="1">
        <v>1352609</v>
      </c>
      <c r="V792" s="1">
        <f t="shared" si="199"/>
        <v>982341.89000000013</v>
      </c>
      <c r="W792" s="1">
        <v>4.5</v>
      </c>
    </row>
    <row r="793" spans="1:23" x14ac:dyDescent="0.25">
      <c r="A793" s="1" t="s">
        <v>220</v>
      </c>
      <c r="B793" s="1" t="s">
        <v>32</v>
      </c>
      <c r="C793" s="1" t="s">
        <v>408</v>
      </c>
      <c r="D793" s="1" t="s">
        <v>74</v>
      </c>
      <c r="E793" s="1" t="s">
        <v>56</v>
      </c>
      <c r="F793" s="1" t="s">
        <v>17</v>
      </c>
      <c r="G793" s="1" t="s">
        <v>72</v>
      </c>
      <c r="H793" s="1" t="s">
        <v>398</v>
      </c>
      <c r="I793" s="1" t="s">
        <v>39</v>
      </c>
      <c r="J793" s="1" t="s">
        <v>46</v>
      </c>
      <c r="K793" s="1">
        <v>182</v>
      </c>
      <c r="L793" s="1">
        <v>8960</v>
      </c>
      <c r="M793" s="2">
        <f t="shared" si="200"/>
        <v>1630720</v>
      </c>
      <c r="N793" s="1">
        <v>270047.23</v>
      </c>
      <c r="O793" s="1">
        <f t="shared" si="201"/>
        <v>1900767.23</v>
      </c>
      <c r="P793" s="1">
        <v>9679</v>
      </c>
      <c r="Q793" s="1">
        <f t="shared" si="202"/>
        <v>1891088.23</v>
      </c>
      <c r="R793" s="1">
        <f t="shared" ref="R793:R795" si="207">0.62*U793</f>
        <v>824521.88</v>
      </c>
      <c r="S793" s="1">
        <f t="shared" si="204"/>
        <v>265974.8</v>
      </c>
      <c r="T793" s="1">
        <f t="shared" si="203"/>
        <v>239377.31999999995</v>
      </c>
      <c r="U793" s="1">
        <v>1329874</v>
      </c>
      <c r="V793" s="1">
        <f t="shared" si="199"/>
        <v>561214.23</v>
      </c>
      <c r="W793" s="1">
        <v>4.2</v>
      </c>
    </row>
    <row r="794" spans="1:23" x14ac:dyDescent="0.25">
      <c r="A794" s="1" t="s">
        <v>390</v>
      </c>
      <c r="B794" s="1" t="s">
        <v>58</v>
      </c>
      <c r="C794" s="1" t="s">
        <v>408</v>
      </c>
      <c r="D794" s="1" t="s">
        <v>22</v>
      </c>
      <c r="E794" s="1" t="s">
        <v>23</v>
      </c>
      <c r="F794" s="1" t="s">
        <v>17</v>
      </c>
      <c r="G794" s="1" t="s">
        <v>75</v>
      </c>
      <c r="H794" s="1" t="s">
        <v>398</v>
      </c>
      <c r="I794" s="1" t="s">
        <v>39</v>
      </c>
      <c r="J794" s="1" t="s">
        <v>26</v>
      </c>
      <c r="K794" s="1">
        <v>111</v>
      </c>
      <c r="L794" s="1">
        <v>12361</v>
      </c>
      <c r="M794" s="2">
        <f t="shared" si="200"/>
        <v>1372071</v>
      </c>
      <c r="N794" s="1">
        <v>234624.14</v>
      </c>
      <c r="O794" s="1">
        <f t="shared" si="201"/>
        <v>1606695.1400000001</v>
      </c>
      <c r="P794" s="1">
        <v>6175</v>
      </c>
      <c r="Q794" s="1">
        <f t="shared" si="202"/>
        <v>1600520.1400000001</v>
      </c>
      <c r="R794" s="1">
        <f t="shared" si="207"/>
        <v>595843.55999999994</v>
      </c>
      <c r="S794" s="1">
        <f t="shared" si="204"/>
        <v>192207.6</v>
      </c>
      <c r="T794" s="1">
        <f t="shared" si="203"/>
        <v>172986.84000000008</v>
      </c>
      <c r="U794" s="1">
        <v>961038</v>
      </c>
      <c r="V794" s="1">
        <f t="shared" si="199"/>
        <v>639482.14000000013</v>
      </c>
      <c r="W794" s="1">
        <v>4.0999999999999996</v>
      </c>
    </row>
    <row r="795" spans="1:23" x14ac:dyDescent="0.25">
      <c r="A795" s="1" t="s">
        <v>164</v>
      </c>
      <c r="B795" s="1" t="s">
        <v>109</v>
      </c>
      <c r="C795" s="1" t="s">
        <v>408</v>
      </c>
      <c r="D795" s="1" t="s">
        <v>52</v>
      </c>
      <c r="E795" s="1" t="s">
        <v>23</v>
      </c>
      <c r="F795" s="1" t="s">
        <v>17</v>
      </c>
      <c r="G795" s="1" t="s">
        <v>38</v>
      </c>
      <c r="H795" s="1" t="s">
        <v>399</v>
      </c>
      <c r="I795" s="1" t="s">
        <v>396</v>
      </c>
      <c r="J795" s="1" t="s">
        <v>26</v>
      </c>
      <c r="K795" s="1">
        <v>120</v>
      </c>
      <c r="L795" s="1">
        <v>31736</v>
      </c>
      <c r="M795" s="2">
        <f t="shared" si="200"/>
        <v>3808320</v>
      </c>
      <c r="N795" s="1">
        <v>603237.89</v>
      </c>
      <c r="O795" s="1">
        <f t="shared" si="201"/>
        <v>4411557.8899999997</v>
      </c>
      <c r="P795" s="1">
        <v>9315</v>
      </c>
      <c r="Q795" s="1">
        <f t="shared" si="202"/>
        <v>4402242.8899999997</v>
      </c>
      <c r="R795" s="1">
        <f t="shared" si="207"/>
        <v>1764321.6</v>
      </c>
      <c r="S795" s="1">
        <f t="shared" si="204"/>
        <v>569136</v>
      </c>
      <c r="T795" s="1">
        <f t="shared" si="203"/>
        <v>512222.39999999991</v>
      </c>
      <c r="U795" s="1">
        <v>2845680</v>
      </c>
      <c r="V795" s="1">
        <f t="shared" si="199"/>
        <v>1556562.8899999997</v>
      </c>
      <c r="W795" s="1">
        <v>4.2</v>
      </c>
    </row>
    <row r="796" spans="1:23" x14ac:dyDescent="0.25">
      <c r="A796" s="1" t="s">
        <v>391</v>
      </c>
      <c r="B796" s="1" t="s">
        <v>32</v>
      </c>
      <c r="C796" s="1" t="s">
        <v>408</v>
      </c>
      <c r="D796" s="1" t="s">
        <v>52</v>
      </c>
      <c r="E796" s="1" t="s">
        <v>23</v>
      </c>
      <c r="F796" s="1" t="s">
        <v>59</v>
      </c>
      <c r="G796" s="1" t="s">
        <v>67</v>
      </c>
      <c r="H796" s="1" t="s">
        <v>398</v>
      </c>
      <c r="I796" s="1" t="s">
        <v>397</v>
      </c>
      <c r="J796" s="1" t="s">
        <v>46</v>
      </c>
      <c r="K796" s="1">
        <v>41</v>
      </c>
      <c r="L796" s="1">
        <v>33802</v>
      </c>
      <c r="M796" s="2">
        <f t="shared" si="200"/>
        <v>1385882</v>
      </c>
      <c r="N796" s="1">
        <v>219523.71</v>
      </c>
      <c r="O796" s="1">
        <f t="shared" si="201"/>
        <v>1605405.71</v>
      </c>
      <c r="P796" s="1">
        <v>6163</v>
      </c>
      <c r="Q796" s="1">
        <f t="shared" si="202"/>
        <v>1599242.71</v>
      </c>
      <c r="R796" s="1">
        <f>0.7*U796</f>
        <v>673043.7</v>
      </c>
      <c r="S796" s="1">
        <f t="shared" si="204"/>
        <v>192298.2</v>
      </c>
      <c r="T796" s="1">
        <f t="shared" si="203"/>
        <v>96149.100000000093</v>
      </c>
      <c r="U796" s="1">
        <v>961491</v>
      </c>
      <c r="V796" s="1">
        <f t="shared" si="199"/>
        <v>637751.71</v>
      </c>
      <c r="W796" s="1">
        <v>3.6</v>
      </c>
    </row>
    <row r="797" spans="1:23" x14ac:dyDescent="0.25">
      <c r="A797" s="1" t="s">
        <v>392</v>
      </c>
      <c r="B797" s="1" t="s">
        <v>34</v>
      </c>
      <c r="C797" s="1" t="s">
        <v>408</v>
      </c>
      <c r="D797" s="1" t="s">
        <v>15</v>
      </c>
      <c r="E797" s="1" t="s">
        <v>16</v>
      </c>
      <c r="F797" s="1" t="s">
        <v>17</v>
      </c>
      <c r="G797" s="1" t="s">
        <v>35</v>
      </c>
      <c r="H797" s="1" t="s">
        <v>398</v>
      </c>
      <c r="I797" s="1" t="s">
        <v>396</v>
      </c>
      <c r="J797" s="1" t="s">
        <v>46</v>
      </c>
      <c r="K797" s="1">
        <v>197</v>
      </c>
      <c r="L797" s="1">
        <v>8771</v>
      </c>
      <c r="M797" s="2">
        <f t="shared" si="200"/>
        <v>1727887</v>
      </c>
      <c r="N797" s="1">
        <v>311019.65999999997</v>
      </c>
      <c r="O797" s="1">
        <f t="shared" si="201"/>
        <v>2038906.66</v>
      </c>
      <c r="P797" s="1">
        <v>6795</v>
      </c>
      <c r="Q797" s="1">
        <f t="shared" si="202"/>
        <v>2032111.66</v>
      </c>
      <c r="R797" s="1">
        <f>0.62*U797</f>
        <v>866583.3</v>
      </c>
      <c r="S797" s="1">
        <f>U797*0.2</f>
        <v>279543</v>
      </c>
      <c r="T797" s="1">
        <f t="shared" si="203"/>
        <v>251588.69999999995</v>
      </c>
      <c r="U797" s="1">
        <v>1397715</v>
      </c>
      <c r="V797" s="1">
        <f t="shared" si="199"/>
        <v>634396.65999999992</v>
      </c>
      <c r="W797" s="1">
        <v>4.0999999999999996</v>
      </c>
    </row>
    <row r="798" spans="1:23" x14ac:dyDescent="0.25">
      <c r="A798" s="1" t="s">
        <v>393</v>
      </c>
      <c r="B798" s="1" t="s">
        <v>41</v>
      </c>
      <c r="C798" s="1" t="s">
        <v>408</v>
      </c>
      <c r="D798" s="1" t="s">
        <v>52</v>
      </c>
      <c r="E798" s="1" t="s">
        <v>23</v>
      </c>
      <c r="F798" s="1" t="s">
        <v>59</v>
      </c>
      <c r="G798" s="1" t="s">
        <v>67</v>
      </c>
      <c r="H798" s="1" t="s">
        <v>398</v>
      </c>
      <c r="I798" s="1" t="s">
        <v>397</v>
      </c>
      <c r="J798" s="1" t="s">
        <v>46</v>
      </c>
      <c r="K798" s="1">
        <v>151</v>
      </c>
      <c r="L798" s="1">
        <v>25887</v>
      </c>
      <c r="M798" s="2">
        <f t="shared" si="200"/>
        <v>3908937</v>
      </c>
      <c r="N798" s="1">
        <v>619175.62</v>
      </c>
      <c r="O798" s="1">
        <f t="shared" si="201"/>
        <v>4528112.62</v>
      </c>
      <c r="P798" s="1">
        <v>5215</v>
      </c>
      <c r="Q798" s="1">
        <f t="shared" si="202"/>
        <v>4522897.62</v>
      </c>
      <c r="R798" s="1">
        <f>0.7*U798</f>
        <v>2031448.2999999998</v>
      </c>
      <c r="S798" s="1">
        <f t="shared" si="204"/>
        <v>580413.80000000005</v>
      </c>
      <c r="T798" s="1">
        <f t="shared" si="203"/>
        <v>290206.90000000037</v>
      </c>
      <c r="U798" s="1">
        <v>2902069</v>
      </c>
      <c r="V798" s="1">
        <f t="shared" si="199"/>
        <v>1620828.62</v>
      </c>
      <c r="W798" s="1">
        <v>4.8</v>
      </c>
    </row>
    <row r="799" spans="1:23" x14ac:dyDescent="0.25">
      <c r="A799" s="1" t="s">
        <v>278</v>
      </c>
      <c r="B799" s="1" t="s">
        <v>41</v>
      </c>
      <c r="C799" s="1" t="s">
        <v>408</v>
      </c>
      <c r="D799" s="1" t="s">
        <v>74</v>
      </c>
      <c r="E799" s="1" t="s">
        <v>56</v>
      </c>
      <c r="F799" s="1" t="s">
        <v>24</v>
      </c>
      <c r="G799" s="1" t="s">
        <v>119</v>
      </c>
      <c r="H799" s="1" t="s">
        <v>399</v>
      </c>
      <c r="I799" s="1" t="s">
        <v>395</v>
      </c>
      <c r="J799" s="1" t="s">
        <v>46</v>
      </c>
      <c r="K799" s="1">
        <v>57</v>
      </c>
      <c r="L799" s="1">
        <v>2416</v>
      </c>
      <c r="M799" s="2">
        <f t="shared" si="200"/>
        <v>137712</v>
      </c>
      <c r="N799" s="1">
        <v>23548.75</v>
      </c>
      <c r="O799" s="1">
        <f t="shared" si="201"/>
        <v>161260.75</v>
      </c>
      <c r="P799" s="1">
        <v>6297</v>
      </c>
      <c r="Q799" s="1">
        <f t="shared" si="202"/>
        <v>154963.75</v>
      </c>
      <c r="R799" s="1">
        <v>55803</v>
      </c>
      <c r="S799" s="1">
        <f t="shared" si="204"/>
        <v>22321.200000000001</v>
      </c>
      <c r="T799" s="1">
        <f t="shared" si="203"/>
        <v>33481.800000000003</v>
      </c>
      <c r="U799" s="1">
        <v>111606</v>
      </c>
      <c r="V799" s="1">
        <f t="shared" si="199"/>
        <v>43357.75</v>
      </c>
      <c r="W799" s="1">
        <v>4.5999999999999996</v>
      </c>
    </row>
    <row r="800" spans="1:23" x14ac:dyDescent="0.25">
      <c r="A800" s="1" t="s">
        <v>148</v>
      </c>
      <c r="B800" s="1" t="s">
        <v>37</v>
      </c>
      <c r="C800" s="1" t="s">
        <v>408</v>
      </c>
      <c r="D800" s="1" t="s">
        <v>74</v>
      </c>
      <c r="E800" s="1" t="s">
        <v>56</v>
      </c>
      <c r="F800" s="1" t="s">
        <v>17</v>
      </c>
      <c r="G800" s="1" t="s">
        <v>75</v>
      </c>
      <c r="H800" s="1" t="s">
        <v>399</v>
      </c>
      <c r="I800" s="1" t="s">
        <v>397</v>
      </c>
      <c r="J800" s="1" t="s">
        <v>26</v>
      </c>
      <c r="K800" s="1">
        <v>198</v>
      </c>
      <c r="L800" s="1">
        <v>18693</v>
      </c>
      <c r="M800" s="2">
        <f t="shared" si="200"/>
        <v>3701214</v>
      </c>
      <c r="N800" s="1">
        <v>566285.74</v>
      </c>
      <c r="O800" s="1">
        <f t="shared" si="201"/>
        <v>4267499.74</v>
      </c>
      <c r="P800" s="1">
        <v>6636</v>
      </c>
      <c r="Q800" s="1">
        <f t="shared" si="202"/>
        <v>4260863.74</v>
      </c>
      <c r="R800" s="1">
        <f>0.62*U800</f>
        <v>1577097.72</v>
      </c>
      <c r="S800" s="1">
        <f>U800*0.2</f>
        <v>508741.2</v>
      </c>
      <c r="T800" s="1">
        <f t="shared" si="203"/>
        <v>457867.08000000007</v>
      </c>
      <c r="U800" s="1">
        <v>2543706</v>
      </c>
      <c r="V800" s="1">
        <f t="shared" si="199"/>
        <v>1717157.7400000002</v>
      </c>
      <c r="W800" s="1">
        <v>4</v>
      </c>
    </row>
    <row r="801" spans="1:23" x14ac:dyDescent="0.25">
      <c r="A801" s="1" t="s">
        <v>215</v>
      </c>
      <c r="B801" s="1" t="s">
        <v>32</v>
      </c>
      <c r="C801" s="1" t="s">
        <v>408</v>
      </c>
      <c r="D801" s="1" t="s">
        <v>42</v>
      </c>
      <c r="E801" s="1" t="s">
        <v>43</v>
      </c>
      <c r="F801" s="1" t="s">
        <v>29</v>
      </c>
      <c r="G801" s="1" t="s">
        <v>97</v>
      </c>
      <c r="H801" s="1" t="s">
        <v>398</v>
      </c>
      <c r="I801" s="1" t="s">
        <v>19</v>
      </c>
      <c r="J801" s="1" t="s">
        <v>46</v>
      </c>
      <c r="K801" s="1">
        <v>131</v>
      </c>
      <c r="L801" s="1">
        <v>10979</v>
      </c>
      <c r="M801" s="2">
        <f t="shared" si="200"/>
        <v>1438249</v>
      </c>
      <c r="N801" s="1">
        <v>227818.64</v>
      </c>
      <c r="O801" s="1">
        <f t="shared" si="201"/>
        <v>1666067.6400000001</v>
      </c>
      <c r="P801" s="1">
        <v>9853</v>
      </c>
      <c r="Q801" s="1">
        <f t="shared" si="202"/>
        <v>1656214.6400000001</v>
      </c>
      <c r="R801" s="1">
        <v>254598.5</v>
      </c>
      <c r="S801" s="1">
        <f t="shared" ref="S801:S802" si="208">U801*0.1</f>
        <v>101839.40000000001</v>
      </c>
      <c r="T801" s="1">
        <f t="shared" si="203"/>
        <v>661956.1</v>
      </c>
      <c r="U801" s="1">
        <v>1018394</v>
      </c>
      <c r="V801" s="1">
        <f t="shared" si="199"/>
        <v>637820.64000000013</v>
      </c>
      <c r="W801" s="1">
        <v>4.3</v>
      </c>
    </row>
    <row r="802" spans="1:23" x14ac:dyDescent="0.25">
      <c r="A802" s="1" t="s">
        <v>394</v>
      </c>
      <c r="B802" s="1" t="s">
        <v>58</v>
      </c>
      <c r="C802" s="1" t="s">
        <v>408</v>
      </c>
      <c r="D802" s="1" t="s">
        <v>55</v>
      </c>
      <c r="E802" s="1" t="s">
        <v>56</v>
      </c>
      <c r="F802" s="1" t="s">
        <v>29</v>
      </c>
      <c r="G802" s="1" t="s">
        <v>30</v>
      </c>
      <c r="H802" s="1" t="s">
        <v>399</v>
      </c>
      <c r="I802" s="1" t="s">
        <v>397</v>
      </c>
      <c r="J802" s="1" t="s">
        <v>46</v>
      </c>
      <c r="K802" s="1">
        <v>145</v>
      </c>
      <c r="L802" s="1">
        <v>17776</v>
      </c>
      <c r="M802" s="2">
        <f t="shared" si="200"/>
        <v>2577520</v>
      </c>
      <c r="N802" s="1">
        <v>463953.6</v>
      </c>
      <c r="O802" s="1">
        <f t="shared" si="201"/>
        <v>3041473.6</v>
      </c>
      <c r="P802" s="1">
        <v>6508</v>
      </c>
      <c r="Q802" s="1">
        <f t="shared" si="202"/>
        <v>3034965.6</v>
      </c>
      <c r="R802" s="1">
        <v>1351762.5</v>
      </c>
      <c r="S802" s="1">
        <f t="shared" si="208"/>
        <v>180235</v>
      </c>
      <c r="T802" s="1">
        <f t="shared" si="203"/>
        <v>270352.5</v>
      </c>
      <c r="U802" s="1">
        <v>1802350</v>
      </c>
      <c r="V802" s="1">
        <f t="shared" si="199"/>
        <v>1232615.6000000001</v>
      </c>
      <c r="W802" s="1">
        <v>3.5</v>
      </c>
    </row>
    <row r="803" spans="1:23" x14ac:dyDescent="0.25">
      <c r="A803" s="1" t="s">
        <v>352</v>
      </c>
      <c r="B803" s="1" t="s">
        <v>109</v>
      </c>
      <c r="C803" s="1" t="s">
        <v>408</v>
      </c>
      <c r="D803" s="1" t="s">
        <v>52</v>
      </c>
      <c r="E803" s="1" t="s">
        <v>23</v>
      </c>
      <c r="F803" s="1" t="s">
        <v>24</v>
      </c>
      <c r="G803" s="1" t="s">
        <v>25</v>
      </c>
      <c r="H803" s="1" t="s">
        <v>399</v>
      </c>
      <c r="I803" s="1" t="s">
        <v>395</v>
      </c>
      <c r="J803" s="1" t="s">
        <v>46</v>
      </c>
      <c r="K803" s="1">
        <v>80</v>
      </c>
      <c r="L803" s="1">
        <v>1508</v>
      </c>
      <c r="M803" s="2">
        <f t="shared" si="200"/>
        <v>120640</v>
      </c>
      <c r="N803" s="1">
        <v>18457.919999999998</v>
      </c>
      <c r="O803" s="1">
        <f t="shared" si="201"/>
        <v>139097.91999999998</v>
      </c>
      <c r="P803" s="1">
        <v>9764</v>
      </c>
      <c r="Q803" s="1">
        <f t="shared" si="202"/>
        <v>129333.91999999998</v>
      </c>
      <c r="R803" s="1">
        <v>19340</v>
      </c>
      <c r="S803" s="1">
        <f t="shared" si="204"/>
        <v>15472</v>
      </c>
      <c r="T803" s="1">
        <f t="shared" si="203"/>
        <v>42548</v>
      </c>
      <c r="U803" s="1">
        <v>77360</v>
      </c>
      <c r="V803" s="1">
        <f t="shared" si="199"/>
        <v>51973.919999999984</v>
      </c>
      <c r="W803" s="1">
        <v>5</v>
      </c>
    </row>
  </sheetData>
  <mergeCells count="1">
    <mergeCell ref="A1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Kapkoti</cp:lastModifiedBy>
  <dcterms:created xsi:type="dcterms:W3CDTF">2026-05-06T13:47:51Z</dcterms:created>
  <dcterms:modified xsi:type="dcterms:W3CDTF">2026-05-12T17:51:59Z</dcterms:modified>
</cp:coreProperties>
</file>